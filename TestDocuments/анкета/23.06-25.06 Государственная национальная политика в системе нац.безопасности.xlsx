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B4" i="2"/>
  <c r="E4" i="2"/>
  <c r="D4" i="2"/>
  <c r="C4" i="2"/>
  <c r="G4" i="2" l="1"/>
</calcChain>
</file>

<file path=xl/sharedStrings.xml><?xml version="1.0" encoding="utf-8"?>
<sst xmlns="http://schemas.openxmlformats.org/spreadsheetml/2006/main" count="373" uniqueCount="132">
  <si>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</si>
  <si>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</si>
  <si>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</si>
  <si>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</si>
  <si>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</si>
  <si>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</si>
  <si>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</si>
  <si>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</si>
  <si>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</si>
  <si>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</si>
  <si>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</si>
  <si>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</si>
  <si>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</si>
  <si>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</si>
  <si>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</si>
  <si>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</si>
  <si>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</si>
  <si>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</si>
  <si>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</si>
  <si>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</si>
  <si>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</si>
  <si>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</si>
  <si>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</si>
  <si>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</si>
  <si>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</si>
  <si>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</si>
  <si>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</si>
  <si>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да</t>
  </si>
  <si>
    <t>нет</t>
  </si>
  <si>
    <t>Напишите, пожалуйста, почему</t>
  </si>
  <si>
    <t>-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</si>
  <si>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</si>
  <si>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</si>
  <si>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</si>
  <si>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</si>
  <si>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</si>
  <si>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</si>
  <si>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все</t>
  </si>
  <si>
    <t>руководитель</t>
  </si>
  <si>
    <t>специалист</t>
  </si>
  <si>
    <t>Почему Вы решили пройти обучение по данной программе?</t>
  </si>
  <si>
    <t>полностью дистанционный формат обучения</t>
  </si>
  <si>
    <t>ничего</t>
  </si>
  <si>
    <t>обеспечивающий специалист</t>
  </si>
  <si>
    <t>Таких нет</t>
  </si>
  <si>
    <t>--</t>
  </si>
  <si>
    <t>советник (помощник)</t>
  </si>
  <si>
    <t>Все темы полезны</t>
  </si>
  <si>
    <t>интересная и актуальная тема</t>
  </si>
  <si>
    <t>сложно выделить что то одно.</t>
  </si>
  <si>
    <t>настороженность при предоставлении информации</t>
  </si>
  <si>
    <t>Подумала, что будет полезна для осуществления трудовой деятельности</t>
  </si>
  <si>
    <t>Углубление знаний по нормативно-правовой базе, разъяснения по нормативно-правовой базе, актуальные на сегодняшний день исследования научного мира</t>
  </si>
  <si>
    <t>Больше исследований из научного мира</t>
  </si>
  <si>
    <t>Одно из направлений деятельности</t>
  </si>
  <si>
    <t>больше времени на курс</t>
  </si>
  <si>
    <t>Очень интересный и 
эффективный курс</t>
  </si>
  <si>
    <t>По направлению деятельности</t>
  </si>
  <si>
    <t>заинтересован в расширении кругозора</t>
  </si>
  <si>
    <t>обеспечение интересов безопасности в рамках страны (Комитет по внешним связям подразумевает взаимодействие с регионами Российской Федерации, в том числе коммуникация с этническими группами)</t>
  </si>
  <si>
    <t>исключать ничего не нужно</t>
  </si>
  <si>
    <t>все актуально</t>
  </si>
  <si>
    <t>программа устраивает, интересная</t>
  </si>
  <si>
    <t>Для повышения уровня профессиональной подготовленности в сфере национальной безопасности</t>
  </si>
  <si>
    <t>Вопросы противодействия экстремизму и терроризму</t>
  </si>
  <si>
    <t>Вопросы мониторинга реализации планов противодействия экстремизму</t>
  </si>
  <si>
    <t>Более глубоко раскрыть вопросы миграционной политики</t>
  </si>
  <si>
    <t>Необходимы видео-примеры</t>
  </si>
  <si>
    <t>Занятие в ходе, которого была бы возможность закрепления материала с помощью обсуждения конкретных вопросов</t>
  </si>
  <si>
    <t>Отличная командная работа Корпоративного университета направленная на результат</t>
  </si>
  <si>
    <t>для общего развития</t>
  </si>
  <si>
    <t>борьба с экстремизмом. очень актуально в наше время</t>
  </si>
  <si>
    <t>Интересно, пригодиться при выполнении служебных задач</t>
  </si>
  <si>
    <t>Противодействие терроризму. Актуальная проблема современности</t>
  </si>
  <si>
    <t>Весь спектр полученной информации</t>
  </si>
  <si>
    <t>Практическое занятие</t>
  </si>
  <si>
    <t>Практическое занятие должно быть (ознакомительная экскурсия)</t>
  </si>
  <si>
    <t>Видеоролики, практическое занятие (ознакомительная экскурсия)</t>
  </si>
  <si>
    <t>Всё на уровне!</t>
  </si>
  <si>
    <t>для эффективной работы</t>
  </si>
  <si>
    <t>национальная безопасность</t>
  </si>
  <si>
    <t>Кчс и ОПБ района, антитеррористическая комиссия</t>
  </si>
  <si>
    <t>нет таких</t>
  </si>
  <si>
    <t>нет предложений</t>
  </si>
  <si>
    <t>спасибо</t>
  </si>
  <si>
    <t>интересная и полезная тема</t>
  </si>
  <si>
    <t>Правовые и организационные основы обеспечения национальной безопасности РФ</t>
  </si>
  <si>
    <t>всё интересно</t>
  </si>
  <si>
    <t>все соответствует</t>
  </si>
  <si>
    <t>взаимодействие было очень эффективно</t>
  </si>
  <si>
    <t>Актуальная программа</t>
  </si>
  <si>
    <t>Органы государственной власти как субъекты обеспечения национальной безопасности</t>
  </si>
  <si>
    <t>Правовые и организационные основы</t>
  </si>
  <si>
    <t>Темы раскрыты</t>
  </si>
  <si>
    <t>Все было хорошо</t>
  </si>
  <si>
    <t>Все было и так хорошо</t>
  </si>
  <si>
    <t>Все организовано на высоком уровне</t>
  </si>
  <si>
    <t>Связано с моей деятельностью</t>
  </si>
  <si>
    <t>борьба с терроризмом и экстремизмом. Своевременно</t>
  </si>
  <si>
    <t>знание нормативных документов</t>
  </si>
  <si>
    <t>таких нет</t>
  </si>
  <si>
    <t>улелять внимание изменению обстановки</t>
  </si>
  <si>
    <t>все устраивает</t>
  </si>
  <si>
    <t>все в норме</t>
  </si>
  <si>
    <t>повысить уровень знаний</t>
  </si>
  <si>
    <t>стратегии национальной безопасности</t>
  </si>
  <si>
    <t>общие понятия</t>
  </si>
  <si>
    <t>оставить все темы</t>
  </si>
  <si>
    <t>темы оптимально подобраны</t>
  </si>
  <si>
    <t>комфортно</t>
  </si>
  <si>
    <t>Актуальные вопросы</t>
  </si>
  <si>
    <t>абсолютно бесполезна</t>
  </si>
  <si>
    <t>никаких</t>
  </si>
  <si>
    <t>три дня потратить на НПА, которые самостоятельно можно прочитать за 3 часа... к тому же мы ведь гос.служащие и раз пришли на данную программу, то наверняка работаем по данному направлению. Неужели мы не читали эти документы?</t>
  </si>
  <si>
    <t>Чтение НПА со слайдов</t>
  </si>
  <si>
    <t>практик ориентированными</t>
  </si>
  <si>
    <t>ничего кроме чтения со слайдов НПА... никакой живой речи. никаких ценных комментариев по теме. вопросы слушателей просто были проигнорированы</t>
  </si>
  <si>
    <t>заменить преподавателя данного курса и пересмотреть содержание</t>
  </si>
  <si>
    <t>Мы умеем читать и понимать НПА.</t>
  </si>
  <si>
    <t>было задано два вопроса, которые были проигнорированы, как будто их и не задаывали.</t>
  </si>
  <si>
    <t>впустую потраченные три дня</t>
  </si>
  <si>
    <t>другой преподаватель</t>
  </si>
  <si>
    <t>уже прокомментировала</t>
  </si>
  <si>
    <t>Интерес к данной теме</t>
  </si>
  <si>
    <t>миграционные процессы
актуально</t>
  </si>
  <si>
    <t>в рабочем порядке все пройденные вопросы</t>
  </si>
  <si>
    <t>интересная тема</t>
  </si>
  <si>
    <t>Повышение уровня знаний</t>
  </si>
  <si>
    <t>Противодействие экстремизму и терроризму.</t>
  </si>
  <si>
    <t>Новые правовые акты</t>
  </si>
  <si>
    <t>вопросов нет</t>
  </si>
  <si>
    <t>Региональные мероприятия проведенные в субъектах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</si>
</sst>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6"/>
  <sheetViews>
    <sheetView tabSelected="1" zoomScale="70" zoomScaleNormal="70" workbookViewId="0">
      <selection activeCell="A2" sqref="A2:B18"/>
    </sheetView>
  </sheetViews>
  <sheetFormatPr defaultRowHeight="15" x14ac:dyDescent="0.25"/>
  <cols>
    <col min="1" max="1" width="22.28515625" customWidth="1"/>
    <col min="2" max="2" width="15.28515625" customWidth="1"/>
    <col min="3" max="3" width="13.85546875" customWidth="1"/>
    <col min="4" max="4" width="23" customWidth="1"/>
    <col min="5" max="5" width="18.28515625" customWidth="1"/>
    <col min="6" max="6" width="26.85546875" customWidth="1"/>
    <col min="7" max="7" width="30.28515625" customWidth="1"/>
    <col min="8" max="8" width="14" customWidth="1"/>
    <col min="9" max="9" width="13.5703125" customWidth="1"/>
    <col min="10" max="10" width="26.5703125" customWidth="1"/>
    <col min="11" max="11" width="30.28515625" customWidth="1"/>
    <col min="12" max="12" width="14.85546875" customWidth="1"/>
    <col min="13" max="13" width="19.42578125" customWidth="1"/>
    <col min="14" max="14" width="25.7109375" customWidth="1"/>
    <col min="15" max="15" width="25.140625" customWidth="1"/>
    <col min="16" max="16" width="18.28515625" customWidth="1"/>
    <col min="17" max="17" width="16.7109375" customWidth="1"/>
    <col min="18" max="18" width="17.28515625" customWidth="1"/>
    <col min="19" max="19" width="17" customWidth="1"/>
    <col min="20" max="20" width="12" customWidth="1"/>
    <col min="21" max="21" width="13.28515625" customWidth="1"/>
    <col min="22" max="22" width="19" customWidth="1"/>
    <col min="23" max="23" width="24" customWidth="1"/>
    <col min="24" max="24" width="24.28515625" customWidth="1"/>
    <col min="25" max="25" width="20" customWidth="1"/>
    <col min="26" max="26" width="24.7109375" customWidth="1"/>
    <col min="27" max="27" width="21.140625" customWidth="1"/>
    <col min="28" max="28" width="20.28515625" customWidth="1"/>
  </cols>
  <sheetData>
    <row r="1" spans="1:106" ht="266.25" customHeight="1" x14ac:dyDescent="0.25">
      <c r="A1" s="15" t="s">
        <v>7</v>
      </c>
      <c r="B1" s="15" t="s">
        <v>8</v>
      </c>
      <c r="C1" s="15" t="s">
        <v>9</v>
      </c>
      <c r="D1" s="15" t="s">
        <v>40</v>
      </c>
      <c r="E1" s="16" t="s">
        <v>23</v>
      </c>
      <c r="F1" s="15" t="s">
        <v>10</v>
      </c>
      <c r="G1" s="15" t="s">
        <v>11</v>
      </c>
      <c r="H1" s="15" t="s">
        <v>12</v>
      </c>
      <c r="I1" s="15" t="s">
        <v>29</v>
      </c>
      <c r="J1" s="15" t="s">
        <v>13</v>
      </c>
      <c r="K1" s="15" t="s">
        <v>14</v>
      </c>
      <c r="L1" s="16" t="s">
        <v>24</v>
      </c>
      <c r="M1" s="15" t="s">
        <v>15</v>
      </c>
      <c r="N1" s="15" t="s">
        <v>31</v>
      </c>
      <c r="O1" s="15" t="s">
        <v>16</v>
      </c>
      <c r="P1" s="16" t="s">
        <v>25</v>
      </c>
      <c r="Q1" s="15" t="s">
        <v>17</v>
      </c>
      <c r="R1" s="15" t="s">
        <v>32</v>
      </c>
      <c r="S1" s="15" t="s">
        <v>18</v>
      </c>
      <c r="T1" s="15" t="s">
        <v>33</v>
      </c>
      <c r="U1" s="15" t="s">
        <v>19</v>
      </c>
      <c r="V1" s="15" t="s">
        <v>34</v>
      </c>
      <c r="W1" s="15" t="s">
        <v>20</v>
      </c>
      <c r="X1" s="15" t="s">
        <v>21</v>
      </c>
      <c r="Y1" s="15" t="s">
        <v>26</v>
      </c>
      <c r="Z1" s="15" t="s">
        <v>22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s="8" customFormat="1" x14ac:dyDescent="0.25">
      <c r="A2" s="19"/>
      <c r="B2" s="19"/>
      <c r="C2" s="19" t="s">
        <v>39</v>
      </c>
      <c r="D2" s="19" t="s">
        <v>48</v>
      </c>
      <c r="E2" s="13">
        <v>7</v>
      </c>
      <c r="F2" s="19" t="s">
        <v>49</v>
      </c>
      <c r="G2" s="19" t="s">
        <v>50</v>
      </c>
      <c r="H2" s="14" t="s">
        <v>27</v>
      </c>
      <c r="I2" s="19" t="s">
        <v>30</v>
      </c>
      <c r="J2" s="19" t="s">
        <v>30</v>
      </c>
      <c r="K2" s="19" t="s">
        <v>30</v>
      </c>
      <c r="L2" s="20">
        <v>7</v>
      </c>
      <c r="M2" s="21" t="s">
        <v>27</v>
      </c>
      <c r="N2" s="19" t="s">
        <v>30</v>
      </c>
      <c r="O2" s="19" t="s">
        <v>30</v>
      </c>
      <c r="P2" s="13">
        <v>10</v>
      </c>
      <c r="Q2" s="14" t="s">
        <v>27</v>
      </c>
      <c r="R2" s="19" t="s">
        <v>30</v>
      </c>
      <c r="S2" s="14" t="s">
        <v>27</v>
      </c>
      <c r="T2" s="19" t="s">
        <v>30</v>
      </c>
      <c r="U2" s="14" t="s">
        <v>27</v>
      </c>
      <c r="V2" s="19" t="s">
        <v>30</v>
      </c>
      <c r="W2" s="19" t="s">
        <v>30</v>
      </c>
      <c r="X2" s="19" t="s">
        <v>36</v>
      </c>
      <c r="Y2" s="13">
        <v>10</v>
      </c>
      <c r="Z2" s="19" t="s">
        <v>30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</row>
    <row r="3" spans="1:106" s="8" customFormat="1" x14ac:dyDescent="0.25">
      <c r="A3" s="19"/>
      <c r="B3" s="19"/>
      <c r="C3" s="19" t="s">
        <v>43</v>
      </c>
      <c r="D3" s="19" t="s">
        <v>51</v>
      </c>
      <c r="E3" s="13">
        <v>10</v>
      </c>
      <c r="F3" s="19" t="s">
        <v>30</v>
      </c>
      <c r="G3" s="19" t="s">
        <v>52</v>
      </c>
      <c r="H3" s="14" t="s">
        <v>27</v>
      </c>
      <c r="I3" s="19" t="s">
        <v>30</v>
      </c>
      <c r="J3" s="19" t="s">
        <v>30</v>
      </c>
      <c r="K3" s="19" t="s">
        <v>30</v>
      </c>
      <c r="L3" s="20">
        <v>10</v>
      </c>
      <c r="M3" s="21" t="s">
        <v>27</v>
      </c>
      <c r="N3" s="19" t="s">
        <v>30</v>
      </c>
      <c r="O3" s="19" t="s">
        <v>53</v>
      </c>
      <c r="P3" s="13">
        <v>10</v>
      </c>
      <c r="Q3" s="14" t="s">
        <v>27</v>
      </c>
      <c r="R3" s="19" t="s">
        <v>30</v>
      </c>
      <c r="S3" s="14" t="s">
        <v>27</v>
      </c>
      <c r="T3" s="19" t="s">
        <v>30</v>
      </c>
      <c r="U3" s="14" t="s">
        <v>28</v>
      </c>
      <c r="V3" s="19" t="s">
        <v>30</v>
      </c>
      <c r="W3" s="19" t="s">
        <v>30</v>
      </c>
      <c r="X3" s="19" t="s">
        <v>36</v>
      </c>
      <c r="Y3" s="13">
        <v>10</v>
      </c>
      <c r="Z3" s="19" t="s">
        <v>30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</row>
    <row r="4" spans="1:106" s="8" customFormat="1" x14ac:dyDescent="0.25">
      <c r="A4" s="19"/>
      <c r="B4" s="19"/>
      <c r="C4" s="19" t="s">
        <v>38</v>
      </c>
      <c r="D4" s="19" t="s">
        <v>54</v>
      </c>
      <c r="E4" s="13">
        <v>10</v>
      </c>
      <c r="F4" s="19" t="s">
        <v>37</v>
      </c>
      <c r="G4" s="19" t="s">
        <v>37</v>
      </c>
      <c r="H4" s="14" t="s">
        <v>27</v>
      </c>
      <c r="I4" s="19" t="s">
        <v>30</v>
      </c>
      <c r="J4" s="19" t="s">
        <v>30</v>
      </c>
      <c r="K4" s="19" t="s">
        <v>30</v>
      </c>
      <c r="L4" s="20">
        <v>10</v>
      </c>
      <c r="M4" s="21" t="s">
        <v>27</v>
      </c>
      <c r="N4" s="19" t="s">
        <v>30</v>
      </c>
      <c r="O4" s="19" t="s">
        <v>30</v>
      </c>
      <c r="P4" s="13">
        <v>10</v>
      </c>
      <c r="Q4" s="14" t="s">
        <v>27</v>
      </c>
      <c r="R4" s="19" t="s">
        <v>30</v>
      </c>
      <c r="S4" s="14" t="s">
        <v>27</v>
      </c>
      <c r="T4" s="19" t="s">
        <v>30</v>
      </c>
      <c r="U4" s="14" t="s">
        <v>28</v>
      </c>
      <c r="V4" s="19" t="s">
        <v>30</v>
      </c>
      <c r="W4" s="19" t="s">
        <v>55</v>
      </c>
      <c r="X4" s="19" t="s">
        <v>35</v>
      </c>
      <c r="Y4" s="13">
        <v>10</v>
      </c>
      <c r="Z4" s="19" t="s">
        <v>56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</row>
    <row r="5" spans="1:106" s="8" customFormat="1" x14ac:dyDescent="0.25">
      <c r="A5" s="19"/>
      <c r="B5" s="19"/>
      <c r="C5" s="19" t="s">
        <v>39</v>
      </c>
      <c r="D5" s="19" t="s">
        <v>57</v>
      </c>
      <c r="E5" s="20">
        <v>10</v>
      </c>
      <c r="F5" s="19" t="s">
        <v>37</v>
      </c>
      <c r="G5" s="19" t="s">
        <v>37</v>
      </c>
      <c r="H5" s="14" t="s">
        <v>27</v>
      </c>
      <c r="I5" s="19" t="s">
        <v>30</v>
      </c>
      <c r="J5" s="19" t="s">
        <v>30</v>
      </c>
      <c r="K5" s="19" t="s">
        <v>30</v>
      </c>
      <c r="L5" s="20">
        <v>10</v>
      </c>
      <c r="M5" s="21" t="s">
        <v>27</v>
      </c>
      <c r="N5" s="19" t="s">
        <v>30</v>
      </c>
      <c r="O5" s="19" t="s">
        <v>30</v>
      </c>
      <c r="P5" s="13">
        <v>10</v>
      </c>
      <c r="Q5" s="14" t="s">
        <v>27</v>
      </c>
      <c r="R5" s="19" t="s">
        <v>30</v>
      </c>
      <c r="S5" s="14" t="s">
        <v>27</v>
      </c>
      <c r="T5" s="19" t="s">
        <v>30</v>
      </c>
      <c r="U5" s="14" t="s">
        <v>28</v>
      </c>
      <c r="V5" s="19" t="s">
        <v>30</v>
      </c>
      <c r="W5" s="19" t="s">
        <v>30</v>
      </c>
      <c r="X5" s="19" t="s">
        <v>36</v>
      </c>
      <c r="Y5" s="13">
        <v>10</v>
      </c>
      <c r="Z5" s="19" t="s">
        <v>30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06" s="8" customFormat="1" x14ac:dyDescent="0.25">
      <c r="A6" s="19"/>
      <c r="B6" s="19"/>
      <c r="C6" s="19" t="s">
        <v>39</v>
      </c>
      <c r="D6" s="19" t="s">
        <v>57</v>
      </c>
      <c r="E6" s="20">
        <v>10</v>
      </c>
      <c r="F6" s="19" t="s">
        <v>37</v>
      </c>
      <c r="G6" s="19" t="s">
        <v>37</v>
      </c>
      <c r="H6" s="14" t="s">
        <v>27</v>
      </c>
      <c r="I6" s="19" t="s">
        <v>30</v>
      </c>
      <c r="J6" s="19" t="s">
        <v>30</v>
      </c>
      <c r="K6" s="19" t="s">
        <v>30</v>
      </c>
      <c r="L6" s="20">
        <v>10</v>
      </c>
      <c r="M6" s="21" t="s">
        <v>27</v>
      </c>
      <c r="N6" s="19" t="s">
        <v>30</v>
      </c>
      <c r="O6" s="19" t="s">
        <v>30</v>
      </c>
      <c r="P6" s="13">
        <v>10</v>
      </c>
      <c r="Q6" s="14" t="s">
        <v>27</v>
      </c>
      <c r="R6" s="19" t="s">
        <v>30</v>
      </c>
      <c r="S6" s="14" t="s">
        <v>27</v>
      </c>
      <c r="T6" s="19" t="s">
        <v>30</v>
      </c>
      <c r="U6" s="14" t="s">
        <v>28</v>
      </c>
      <c r="V6" s="19" t="s">
        <v>30</v>
      </c>
      <c r="W6" s="19" t="s">
        <v>30</v>
      </c>
      <c r="X6" s="19" t="s">
        <v>36</v>
      </c>
      <c r="Y6" s="13">
        <v>10</v>
      </c>
      <c r="Z6" s="19" t="s">
        <v>30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</row>
    <row r="7" spans="1:106" s="8" customFormat="1" x14ac:dyDescent="0.25">
      <c r="A7" s="19"/>
      <c r="B7" s="19"/>
      <c r="C7" s="19" t="s">
        <v>39</v>
      </c>
      <c r="D7" s="19" t="s">
        <v>58</v>
      </c>
      <c r="E7" s="20">
        <v>8</v>
      </c>
      <c r="F7" s="19" t="s">
        <v>59</v>
      </c>
      <c r="G7" s="19" t="s">
        <v>37</v>
      </c>
      <c r="H7" s="14" t="s">
        <v>27</v>
      </c>
      <c r="I7" s="19" t="s">
        <v>30</v>
      </c>
      <c r="J7" s="19" t="s">
        <v>60</v>
      </c>
      <c r="K7" s="19" t="s">
        <v>61</v>
      </c>
      <c r="L7" s="20">
        <v>8</v>
      </c>
      <c r="M7" s="21" t="s">
        <v>27</v>
      </c>
      <c r="N7" s="19" t="s">
        <v>30</v>
      </c>
      <c r="O7" s="19" t="s">
        <v>42</v>
      </c>
      <c r="P7" s="13">
        <v>10</v>
      </c>
      <c r="Q7" s="14" t="s">
        <v>27</v>
      </c>
      <c r="R7" s="19" t="s">
        <v>30</v>
      </c>
      <c r="S7" s="14" t="s">
        <v>27</v>
      </c>
      <c r="T7" s="19" t="s">
        <v>30</v>
      </c>
      <c r="U7" s="14" t="s">
        <v>28</v>
      </c>
      <c r="V7" s="19" t="s">
        <v>30</v>
      </c>
      <c r="W7" s="19" t="s">
        <v>42</v>
      </c>
      <c r="X7" s="19" t="s">
        <v>41</v>
      </c>
      <c r="Y7" s="13">
        <v>10</v>
      </c>
      <c r="Z7" s="19" t="s">
        <v>62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</row>
    <row r="8" spans="1:106" s="8" customFormat="1" x14ac:dyDescent="0.25">
      <c r="A8" s="19"/>
      <c r="B8" s="19"/>
      <c r="C8" s="19" t="s">
        <v>46</v>
      </c>
      <c r="D8" s="19" t="s">
        <v>63</v>
      </c>
      <c r="E8" s="20">
        <v>10</v>
      </c>
      <c r="F8" s="19" t="s">
        <v>64</v>
      </c>
      <c r="G8" s="19" t="s">
        <v>65</v>
      </c>
      <c r="H8" s="14" t="s">
        <v>27</v>
      </c>
      <c r="I8" s="19" t="s">
        <v>30</v>
      </c>
      <c r="J8" s="19" t="s">
        <v>47</v>
      </c>
      <c r="K8" s="19" t="s">
        <v>66</v>
      </c>
      <c r="L8" s="20">
        <v>10</v>
      </c>
      <c r="M8" s="21" t="s">
        <v>27</v>
      </c>
      <c r="N8" s="19" t="s">
        <v>30</v>
      </c>
      <c r="O8" s="19" t="s">
        <v>67</v>
      </c>
      <c r="P8" s="13">
        <v>10</v>
      </c>
      <c r="Q8" s="14" t="s">
        <v>27</v>
      </c>
      <c r="R8" s="19" t="s">
        <v>30</v>
      </c>
      <c r="S8" s="14" t="s">
        <v>27</v>
      </c>
      <c r="T8" s="19" t="s">
        <v>30</v>
      </c>
      <c r="U8" s="14" t="s">
        <v>28</v>
      </c>
      <c r="V8" s="19" t="s">
        <v>30</v>
      </c>
      <c r="W8" s="19" t="s">
        <v>68</v>
      </c>
      <c r="X8" s="19" t="s">
        <v>36</v>
      </c>
      <c r="Y8" s="13">
        <v>10</v>
      </c>
      <c r="Z8" s="19" t="s">
        <v>69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</row>
    <row r="9" spans="1:106" s="8" customFormat="1" x14ac:dyDescent="0.25">
      <c r="A9" s="19"/>
      <c r="B9" s="19"/>
      <c r="C9" s="19" t="s">
        <v>39</v>
      </c>
      <c r="D9" s="19" t="s">
        <v>70</v>
      </c>
      <c r="E9" s="20">
        <v>10</v>
      </c>
      <c r="F9" s="19" t="s">
        <v>71</v>
      </c>
      <c r="G9" s="19" t="s">
        <v>37</v>
      </c>
      <c r="H9" s="14" t="s">
        <v>27</v>
      </c>
      <c r="I9" s="19" t="s">
        <v>30</v>
      </c>
      <c r="J9" s="19" t="s">
        <v>30</v>
      </c>
      <c r="K9" s="19" t="s">
        <v>30</v>
      </c>
      <c r="L9" s="20">
        <v>10</v>
      </c>
      <c r="M9" s="21" t="s">
        <v>27</v>
      </c>
      <c r="N9" s="19" t="s">
        <v>30</v>
      </c>
      <c r="O9" s="19" t="s">
        <v>30</v>
      </c>
      <c r="P9" s="13">
        <v>10</v>
      </c>
      <c r="Q9" s="14" t="s">
        <v>27</v>
      </c>
      <c r="R9" s="19" t="s">
        <v>30</v>
      </c>
      <c r="S9" s="14" t="s">
        <v>27</v>
      </c>
      <c r="T9" s="19" t="s">
        <v>30</v>
      </c>
      <c r="U9" s="14" t="s">
        <v>28</v>
      </c>
      <c r="V9" s="19" t="s">
        <v>30</v>
      </c>
      <c r="W9" s="19" t="s">
        <v>30</v>
      </c>
      <c r="X9" s="19" t="s">
        <v>36</v>
      </c>
      <c r="Y9" s="13">
        <v>10</v>
      </c>
      <c r="Z9" s="19" t="s">
        <v>30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</row>
    <row r="10" spans="1:106" s="8" customFormat="1" x14ac:dyDescent="0.25">
      <c r="A10" s="19"/>
      <c r="B10" s="19"/>
      <c r="C10" s="19" t="s">
        <v>39</v>
      </c>
      <c r="D10" s="19" t="s">
        <v>72</v>
      </c>
      <c r="E10" s="20">
        <v>7</v>
      </c>
      <c r="F10" s="19" t="s">
        <v>73</v>
      </c>
      <c r="G10" s="19" t="s">
        <v>74</v>
      </c>
      <c r="H10" s="14" t="s">
        <v>27</v>
      </c>
      <c r="I10" s="19" t="s">
        <v>30</v>
      </c>
      <c r="J10" s="19" t="s">
        <v>30</v>
      </c>
      <c r="K10" s="19" t="s">
        <v>75</v>
      </c>
      <c r="L10" s="20">
        <v>7</v>
      </c>
      <c r="M10" s="21" t="s">
        <v>27</v>
      </c>
      <c r="N10" s="19" t="s">
        <v>30</v>
      </c>
      <c r="O10" s="19" t="s">
        <v>76</v>
      </c>
      <c r="P10" s="13">
        <v>10</v>
      </c>
      <c r="Q10" s="14" t="s">
        <v>27</v>
      </c>
      <c r="R10" s="19" t="s">
        <v>30</v>
      </c>
      <c r="S10" s="14" t="s">
        <v>27</v>
      </c>
      <c r="T10" s="19" t="s">
        <v>30</v>
      </c>
      <c r="U10" s="14" t="s">
        <v>28</v>
      </c>
      <c r="V10" s="19" t="s">
        <v>30</v>
      </c>
      <c r="W10" s="19" t="s">
        <v>77</v>
      </c>
      <c r="X10" s="19" t="s">
        <v>35</v>
      </c>
      <c r="Y10" s="13">
        <v>10</v>
      </c>
      <c r="Z10" s="19" t="s">
        <v>78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</row>
    <row r="11" spans="1:106" s="8" customFormat="1" x14ac:dyDescent="0.25">
      <c r="A11" s="19"/>
      <c r="B11" s="19"/>
      <c r="C11" s="19" t="s">
        <v>39</v>
      </c>
      <c r="D11" s="19" t="s">
        <v>79</v>
      </c>
      <c r="E11" s="20">
        <v>10</v>
      </c>
      <c r="F11" s="19" t="s">
        <v>80</v>
      </c>
      <c r="G11" s="19" t="s">
        <v>81</v>
      </c>
      <c r="H11" s="14" t="s">
        <v>27</v>
      </c>
      <c r="I11" s="19" t="s">
        <v>30</v>
      </c>
      <c r="J11" s="19" t="s">
        <v>82</v>
      </c>
      <c r="K11" s="19" t="s">
        <v>82</v>
      </c>
      <c r="L11" s="20">
        <v>8</v>
      </c>
      <c r="M11" s="21" t="s">
        <v>27</v>
      </c>
      <c r="N11" s="19" t="s">
        <v>30</v>
      </c>
      <c r="O11" s="19" t="s">
        <v>83</v>
      </c>
      <c r="P11" s="13">
        <v>8</v>
      </c>
      <c r="Q11" s="14" t="s">
        <v>27</v>
      </c>
      <c r="R11" s="19" t="s">
        <v>30</v>
      </c>
      <c r="S11" s="14" t="s">
        <v>27</v>
      </c>
      <c r="T11" s="19" t="s">
        <v>30</v>
      </c>
      <c r="U11" s="14" t="s">
        <v>28</v>
      </c>
      <c r="V11" s="19" t="s">
        <v>30</v>
      </c>
      <c r="W11" s="19" t="s">
        <v>83</v>
      </c>
      <c r="X11" s="19" t="s">
        <v>41</v>
      </c>
      <c r="Y11" s="13">
        <v>10</v>
      </c>
      <c r="Z11" s="19" t="s">
        <v>84</v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</row>
    <row r="12" spans="1:106" s="8" customFormat="1" x14ac:dyDescent="0.25">
      <c r="A12" s="19"/>
      <c r="B12" s="19"/>
      <c r="C12" s="19" t="s">
        <v>38</v>
      </c>
      <c r="D12" s="19" t="s">
        <v>85</v>
      </c>
      <c r="E12" s="20">
        <v>10</v>
      </c>
      <c r="F12" s="19" t="s">
        <v>86</v>
      </c>
      <c r="G12" s="19" t="s">
        <v>86</v>
      </c>
      <c r="H12" s="14" t="s">
        <v>27</v>
      </c>
      <c r="I12" s="19" t="s">
        <v>30</v>
      </c>
      <c r="J12" s="19" t="s">
        <v>87</v>
      </c>
      <c r="K12" s="19" t="s">
        <v>30</v>
      </c>
      <c r="L12" s="20">
        <v>10</v>
      </c>
      <c r="M12" s="21" t="s">
        <v>27</v>
      </c>
      <c r="N12" s="19" t="s">
        <v>30</v>
      </c>
      <c r="O12" s="19" t="s">
        <v>88</v>
      </c>
      <c r="P12" s="13">
        <v>10</v>
      </c>
      <c r="Q12" s="14" t="s">
        <v>27</v>
      </c>
      <c r="R12" s="19" t="s">
        <v>30</v>
      </c>
      <c r="S12" s="14" t="s">
        <v>27</v>
      </c>
      <c r="T12" s="19" t="s">
        <v>30</v>
      </c>
      <c r="U12" s="14" t="s">
        <v>28</v>
      </c>
      <c r="V12" s="19" t="s">
        <v>45</v>
      </c>
      <c r="W12" s="19" t="s">
        <v>30</v>
      </c>
      <c r="X12" s="19" t="s">
        <v>35</v>
      </c>
      <c r="Y12" s="13">
        <v>10</v>
      </c>
      <c r="Z12" s="19" t="s">
        <v>89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</row>
    <row r="13" spans="1:106" s="8" customFormat="1" x14ac:dyDescent="0.25">
      <c r="A13" s="19"/>
      <c r="B13" s="19"/>
      <c r="C13" s="19" t="s">
        <v>38</v>
      </c>
      <c r="D13" s="19" t="s">
        <v>90</v>
      </c>
      <c r="E13" s="20">
        <v>10</v>
      </c>
      <c r="F13" s="19" t="s">
        <v>91</v>
      </c>
      <c r="G13" s="19" t="s">
        <v>92</v>
      </c>
      <c r="H13" s="14" t="s">
        <v>27</v>
      </c>
      <c r="I13" s="19" t="s">
        <v>30</v>
      </c>
      <c r="J13" s="19" t="s">
        <v>44</v>
      </c>
      <c r="K13" s="19" t="s">
        <v>93</v>
      </c>
      <c r="L13" s="20">
        <v>9</v>
      </c>
      <c r="M13" s="21" t="s">
        <v>27</v>
      </c>
      <c r="N13" s="19" t="s">
        <v>30</v>
      </c>
      <c r="O13" s="19" t="s">
        <v>94</v>
      </c>
      <c r="P13" s="13">
        <v>9</v>
      </c>
      <c r="Q13" s="14" t="s">
        <v>27</v>
      </c>
      <c r="R13" s="19" t="s">
        <v>30</v>
      </c>
      <c r="S13" s="14" t="s">
        <v>27</v>
      </c>
      <c r="T13" s="19" t="s">
        <v>30</v>
      </c>
      <c r="U13" s="14" t="s">
        <v>28</v>
      </c>
      <c r="V13" s="19" t="s">
        <v>30</v>
      </c>
      <c r="W13" s="19" t="s">
        <v>95</v>
      </c>
      <c r="X13" s="19" t="s">
        <v>36</v>
      </c>
      <c r="Y13" s="13">
        <v>10</v>
      </c>
      <c r="Z13" s="19" t="s">
        <v>96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</row>
    <row r="14" spans="1:106" s="10" customFormat="1" x14ac:dyDescent="0.25">
      <c r="A14" s="19"/>
      <c r="B14" s="19"/>
      <c r="C14" s="19" t="s">
        <v>39</v>
      </c>
      <c r="D14" s="19" t="s">
        <v>97</v>
      </c>
      <c r="E14" s="20">
        <v>10</v>
      </c>
      <c r="F14" s="19" t="s">
        <v>98</v>
      </c>
      <c r="G14" s="19" t="s">
        <v>99</v>
      </c>
      <c r="H14" s="14" t="s">
        <v>27</v>
      </c>
      <c r="I14" s="19" t="s">
        <v>30</v>
      </c>
      <c r="J14" s="19" t="s">
        <v>100</v>
      </c>
      <c r="K14" s="19" t="s">
        <v>101</v>
      </c>
      <c r="L14" s="13">
        <v>10</v>
      </c>
      <c r="M14" s="14" t="s">
        <v>27</v>
      </c>
      <c r="N14" s="19" t="s">
        <v>30</v>
      </c>
      <c r="O14" s="19" t="s">
        <v>102</v>
      </c>
      <c r="P14" s="13">
        <v>9</v>
      </c>
      <c r="Q14" s="14" t="s">
        <v>27</v>
      </c>
      <c r="R14" s="19" t="s">
        <v>30</v>
      </c>
      <c r="S14" s="14" t="s">
        <v>27</v>
      </c>
      <c r="T14" s="19" t="s">
        <v>30</v>
      </c>
      <c r="U14" s="14" t="s">
        <v>28</v>
      </c>
      <c r="V14" s="19" t="s">
        <v>30</v>
      </c>
      <c r="W14" s="19" t="s">
        <v>103</v>
      </c>
      <c r="X14" s="19" t="s">
        <v>36</v>
      </c>
      <c r="Y14" s="13">
        <v>10</v>
      </c>
      <c r="Z14" s="19" t="s">
        <v>102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</row>
    <row r="15" spans="1:106" s="10" customFormat="1" x14ac:dyDescent="0.25">
      <c r="A15" s="19"/>
      <c r="B15" s="19"/>
      <c r="C15" s="19" t="s">
        <v>38</v>
      </c>
      <c r="D15" s="19" t="s">
        <v>104</v>
      </c>
      <c r="E15" s="20">
        <v>8</v>
      </c>
      <c r="F15" s="19" t="s">
        <v>105</v>
      </c>
      <c r="G15" s="19" t="s">
        <v>106</v>
      </c>
      <c r="H15" s="14" t="s">
        <v>27</v>
      </c>
      <c r="I15" s="19" t="s">
        <v>30</v>
      </c>
      <c r="J15" s="19" t="s">
        <v>107</v>
      </c>
      <c r="K15" s="19" t="s">
        <v>108</v>
      </c>
      <c r="L15" s="13">
        <v>10</v>
      </c>
      <c r="M15" s="14" t="s">
        <v>27</v>
      </c>
      <c r="N15" s="19" t="s">
        <v>30</v>
      </c>
      <c r="O15" s="19" t="s">
        <v>42</v>
      </c>
      <c r="P15" s="13">
        <v>10</v>
      </c>
      <c r="Q15" s="14" t="s">
        <v>27</v>
      </c>
      <c r="R15" s="19" t="s">
        <v>30</v>
      </c>
      <c r="S15" s="14" t="s">
        <v>27</v>
      </c>
      <c r="T15" s="19" t="s">
        <v>30</v>
      </c>
      <c r="U15" s="14" t="s">
        <v>28</v>
      </c>
      <c r="V15" s="19" t="s">
        <v>30</v>
      </c>
      <c r="W15" s="19" t="s">
        <v>42</v>
      </c>
      <c r="X15" s="19" t="s">
        <v>41</v>
      </c>
      <c r="Y15" s="13">
        <v>10</v>
      </c>
      <c r="Z15" s="19" t="s">
        <v>109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</row>
    <row r="16" spans="1:106" s="10" customFormat="1" x14ac:dyDescent="0.25">
      <c r="A16" s="19"/>
      <c r="B16" s="19"/>
      <c r="C16" s="19" t="s">
        <v>39</v>
      </c>
      <c r="D16" s="19" t="s">
        <v>110</v>
      </c>
      <c r="E16" s="20">
        <v>1</v>
      </c>
      <c r="F16" s="19" t="s">
        <v>111</v>
      </c>
      <c r="G16" s="19" t="s">
        <v>112</v>
      </c>
      <c r="H16" s="14" t="s">
        <v>28</v>
      </c>
      <c r="I16" s="19" t="s">
        <v>113</v>
      </c>
      <c r="J16" s="19" t="s">
        <v>114</v>
      </c>
      <c r="K16" s="19" t="s">
        <v>115</v>
      </c>
      <c r="L16" s="13">
        <v>1</v>
      </c>
      <c r="M16" s="14" t="s">
        <v>28</v>
      </c>
      <c r="N16" s="19" t="s">
        <v>116</v>
      </c>
      <c r="O16" s="19" t="s">
        <v>117</v>
      </c>
      <c r="P16" s="13">
        <v>10</v>
      </c>
      <c r="Q16" s="14" t="s">
        <v>27</v>
      </c>
      <c r="R16" s="19" t="s">
        <v>118</v>
      </c>
      <c r="S16" s="14" t="s">
        <v>28</v>
      </c>
      <c r="T16" s="19" t="s">
        <v>119</v>
      </c>
      <c r="U16" s="14" t="s">
        <v>27</v>
      </c>
      <c r="V16" s="19" t="s">
        <v>120</v>
      </c>
      <c r="W16" s="19" t="s">
        <v>121</v>
      </c>
      <c r="X16" s="19" t="s">
        <v>36</v>
      </c>
      <c r="Y16" s="13">
        <v>1</v>
      </c>
      <c r="Z16" s="19" t="s">
        <v>122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</row>
    <row r="17" spans="1:106" s="10" customFormat="1" x14ac:dyDescent="0.25">
      <c r="A17" s="19"/>
      <c r="B17" s="19"/>
      <c r="C17" s="19" t="s">
        <v>39</v>
      </c>
      <c r="D17" s="19" t="s">
        <v>123</v>
      </c>
      <c r="E17" s="20">
        <v>10</v>
      </c>
      <c r="F17" s="19" t="s">
        <v>124</v>
      </c>
      <c r="G17" s="19" t="s">
        <v>125</v>
      </c>
      <c r="H17" s="14" t="s">
        <v>27</v>
      </c>
      <c r="I17" s="19" t="s">
        <v>30</v>
      </c>
      <c r="J17" s="19" t="s">
        <v>30</v>
      </c>
      <c r="K17" s="19" t="s">
        <v>30</v>
      </c>
      <c r="L17" s="13">
        <v>10</v>
      </c>
      <c r="M17" s="14" t="s">
        <v>27</v>
      </c>
      <c r="N17" s="19" t="s">
        <v>30</v>
      </c>
      <c r="O17" s="19" t="s">
        <v>42</v>
      </c>
      <c r="P17" s="13">
        <v>10</v>
      </c>
      <c r="Q17" s="14" t="s">
        <v>27</v>
      </c>
      <c r="R17" s="19" t="s">
        <v>30</v>
      </c>
      <c r="S17" s="14" t="s">
        <v>27</v>
      </c>
      <c r="T17" s="19" t="s">
        <v>30</v>
      </c>
      <c r="U17" s="14" t="s">
        <v>28</v>
      </c>
      <c r="V17" s="19" t="s">
        <v>30</v>
      </c>
      <c r="W17" s="19" t="s">
        <v>42</v>
      </c>
      <c r="X17" s="19" t="s">
        <v>36</v>
      </c>
      <c r="Y17" s="13">
        <v>10</v>
      </c>
      <c r="Z17" s="19" t="s">
        <v>126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</row>
    <row r="18" spans="1:106" s="10" customFormat="1" x14ac:dyDescent="0.25">
      <c r="A18" s="19"/>
      <c r="B18" s="19"/>
      <c r="C18" s="19" t="s">
        <v>39</v>
      </c>
      <c r="D18" s="19" t="s">
        <v>127</v>
      </c>
      <c r="E18" s="13">
        <v>10</v>
      </c>
      <c r="F18" s="19" t="s">
        <v>128</v>
      </c>
      <c r="G18" s="19" t="s">
        <v>129</v>
      </c>
      <c r="H18" s="14" t="s">
        <v>27</v>
      </c>
      <c r="I18" s="19" t="s">
        <v>30</v>
      </c>
      <c r="J18" s="19" t="s">
        <v>130</v>
      </c>
      <c r="K18" s="19" t="s">
        <v>131</v>
      </c>
      <c r="L18" s="13">
        <v>10</v>
      </c>
      <c r="M18" s="14" t="s">
        <v>27</v>
      </c>
      <c r="N18" s="19" t="s">
        <v>30</v>
      </c>
      <c r="O18" s="19" t="s">
        <v>30</v>
      </c>
      <c r="P18" s="13">
        <v>10</v>
      </c>
      <c r="Q18" s="14" t="s">
        <v>27</v>
      </c>
      <c r="R18" s="19" t="s">
        <v>30</v>
      </c>
      <c r="S18" s="14" t="s">
        <v>27</v>
      </c>
      <c r="T18" s="19" t="s">
        <v>30</v>
      </c>
      <c r="U18" s="14" t="s">
        <v>28</v>
      </c>
      <c r="V18" s="19" t="s">
        <v>30</v>
      </c>
      <c r="W18" s="19" t="s">
        <v>30</v>
      </c>
      <c r="X18" s="19" t="s">
        <v>36</v>
      </c>
      <c r="Y18" s="13">
        <v>10</v>
      </c>
      <c r="Z18" s="19" t="s">
        <v>30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</row>
    <row r="19" spans="1:106" s="10" customFormat="1" x14ac:dyDescent="0.25">
      <c r="A19" s="12"/>
      <c r="B19" s="12"/>
      <c r="C19" s="12"/>
      <c r="D19" s="12"/>
      <c r="E19" s="17"/>
      <c r="F19" s="12"/>
      <c r="G19" s="12"/>
      <c r="H19" s="18"/>
      <c r="I19" s="12"/>
      <c r="J19" s="12"/>
      <c r="K19" s="12"/>
      <c r="L19" s="17"/>
      <c r="M19" s="18"/>
      <c r="N19" s="18"/>
      <c r="O19" s="12"/>
      <c r="P19" s="17"/>
      <c r="Q19" s="18"/>
      <c r="R19" s="18"/>
      <c r="S19" s="18"/>
      <c r="T19" s="18"/>
      <c r="U19" s="18"/>
      <c r="V19" s="18"/>
      <c r="W19" s="12"/>
      <c r="X19" s="12"/>
      <c r="Y19" s="17"/>
      <c r="Z19" s="12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</row>
    <row r="20" spans="1:106" s="10" customFormat="1" x14ac:dyDescent="0.25">
      <c r="A20" s="12"/>
      <c r="B20" s="12"/>
      <c r="C20" s="12"/>
      <c r="D20" s="12"/>
      <c r="E20" s="17"/>
      <c r="F20" s="12"/>
      <c r="G20" s="12"/>
      <c r="H20" s="18"/>
      <c r="I20" s="12"/>
      <c r="J20" s="12"/>
      <c r="K20" s="12"/>
      <c r="L20" s="17"/>
      <c r="M20" s="18"/>
      <c r="N20" s="18"/>
      <c r="O20" s="12"/>
      <c r="P20" s="17"/>
      <c r="Q20" s="18"/>
      <c r="R20" s="18"/>
      <c r="S20" s="18"/>
      <c r="T20" s="18"/>
      <c r="U20" s="18"/>
      <c r="V20" s="18"/>
      <c r="W20" s="12"/>
      <c r="X20" s="12"/>
      <c r="Y20" s="17"/>
      <c r="Z20" s="12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</row>
    <row r="21" spans="1:106" s="12" customFormat="1" x14ac:dyDescent="0.25">
      <c r="E21" s="17"/>
      <c r="H21" s="18"/>
      <c r="L21" s="17"/>
      <c r="M21" s="18"/>
      <c r="N21" s="18"/>
      <c r="P21" s="17"/>
      <c r="Q21" s="18"/>
      <c r="R21" s="18"/>
      <c r="S21" s="18"/>
      <c r="T21" s="18"/>
      <c r="U21" s="18"/>
      <c r="V21" s="18"/>
      <c r="Y21" s="17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</row>
    <row r="22" spans="1:106" x14ac:dyDescent="0.25">
      <c r="A22" s="12"/>
      <c r="B22" s="12"/>
      <c r="C22" s="12"/>
      <c r="D22" s="12"/>
      <c r="E22" s="17"/>
      <c r="F22" s="12"/>
      <c r="G22" s="12"/>
      <c r="H22" s="18"/>
      <c r="I22" s="12"/>
      <c r="J22" s="12"/>
      <c r="K22" s="12"/>
      <c r="L22" s="17"/>
      <c r="M22" s="18"/>
      <c r="N22" s="18"/>
      <c r="O22" s="12"/>
      <c r="P22" s="17"/>
      <c r="Q22" s="18"/>
      <c r="R22" s="18"/>
      <c r="S22" s="18"/>
      <c r="T22" s="18"/>
      <c r="U22" s="18"/>
      <c r="V22" s="18"/>
      <c r="W22" s="12"/>
      <c r="X22" s="12"/>
      <c r="Y22" s="17"/>
      <c r="Z22" s="12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2"/>
      <c r="B23" s="12"/>
      <c r="C23" s="12"/>
      <c r="D23" s="12"/>
      <c r="E23" s="17"/>
      <c r="F23" s="12"/>
      <c r="G23" s="12"/>
      <c r="H23" s="18"/>
      <c r="I23" s="12"/>
      <c r="J23" s="12"/>
      <c r="K23" s="12"/>
      <c r="L23" s="17"/>
      <c r="M23" s="18"/>
      <c r="N23" s="18"/>
      <c r="O23" s="12"/>
      <c r="P23" s="17"/>
      <c r="Q23" s="18"/>
      <c r="R23" s="18"/>
      <c r="S23" s="18"/>
      <c r="T23" s="18"/>
      <c r="U23" s="18"/>
      <c r="V23" s="18"/>
      <c r="W23" s="12"/>
      <c r="X23" s="12"/>
      <c r="Y23" s="17"/>
      <c r="Z23" s="12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2"/>
      <c r="B24" s="12"/>
      <c r="C24" s="12"/>
      <c r="D24" s="12"/>
      <c r="E24" s="17"/>
      <c r="F24" s="12"/>
      <c r="G24" s="12"/>
      <c r="H24" s="18"/>
      <c r="I24" s="12"/>
      <c r="J24" s="12"/>
      <c r="K24" s="12"/>
      <c r="L24" s="17"/>
      <c r="M24" s="18"/>
      <c r="N24" s="18"/>
      <c r="O24" s="12"/>
      <c r="P24" s="17"/>
      <c r="Q24" s="18"/>
      <c r="R24" s="18"/>
      <c r="S24" s="18"/>
      <c r="T24" s="18"/>
      <c r="U24" s="18"/>
      <c r="V24" s="18"/>
      <c r="W24" s="12"/>
      <c r="X24" s="12"/>
      <c r="Y24" s="17"/>
      <c r="Z24" s="1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2"/>
      <c r="B25" s="12"/>
      <c r="C25" s="12"/>
      <c r="D25" s="12"/>
      <c r="E25" s="17"/>
      <c r="F25" s="12"/>
      <c r="G25" s="12"/>
      <c r="H25" s="18"/>
      <c r="I25" s="12"/>
      <c r="J25" s="12"/>
      <c r="K25" s="12"/>
      <c r="L25" s="17"/>
      <c r="M25" s="18"/>
      <c r="N25" s="18"/>
      <c r="O25" s="12"/>
      <c r="P25" s="17"/>
      <c r="Q25" s="18"/>
      <c r="R25" s="18"/>
      <c r="S25" s="18"/>
      <c r="T25" s="18"/>
      <c r="U25" s="18"/>
      <c r="V25" s="18"/>
      <c r="W25" s="12"/>
      <c r="X25" s="12"/>
      <c r="Y25" s="17"/>
      <c r="Z25" s="12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2"/>
      <c r="B26" s="12"/>
      <c r="C26" s="12"/>
      <c r="D26" s="12"/>
      <c r="E26" s="17"/>
      <c r="F26" s="12"/>
      <c r="G26" s="12"/>
      <c r="H26" s="18"/>
      <c r="I26" s="12"/>
      <c r="J26" s="12"/>
      <c r="K26" s="12"/>
      <c r="L26" s="17"/>
      <c r="M26" s="18"/>
      <c r="N26" s="18"/>
      <c r="O26" s="12"/>
      <c r="P26" s="17"/>
      <c r="Q26" s="18"/>
      <c r="R26" s="18"/>
      <c r="S26" s="18"/>
      <c r="T26" s="18"/>
      <c r="U26" s="18"/>
      <c r="V26" s="18"/>
      <c r="W26" s="12"/>
      <c r="X26" s="12"/>
      <c r="Y26" s="17"/>
      <c r="Z26" s="12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2"/>
      <c r="B27" s="12"/>
      <c r="C27" s="12"/>
      <c r="D27" s="12"/>
      <c r="E27" s="17"/>
      <c r="F27" s="12"/>
      <c r="G27" s="12"/>
      <c r="H27" s="18"/>
      <c r="I27" s="12"/>
      <c r="J27" s="12"/>
      <c r="K27" s="12"/>
      <c r="L27" s="17"/>
      <c r="M27" s="18"/>
      <c r="N27" s="18"/>
      <c r="O27" s="12"/>
      <c r="P27" s="17"/>
      <c r="Q27" s="18"/>
      <c r="R27" s="18"/>
      <c r="S27" s="18"/>
      <c r="T27" s="18"/>
      <c r="U27" s="18"/>
      <c r="V27" s="18"/>
      <c r="W27" s="12"/>
      <c r="X27" s="12"/>
      <c r="Y27" s="17"/>
      <c r="Z27" s="12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2"/>
      <c r="B28" s="12"/>
      <c r="C28" s="12"/>
      <c r="D28" s="12"/>
      <c r="E28" s="17"/>
      <c r="F28" s="12"/>
      <c r="G28" s="12"/>
      <c r="H28" s="18"/>
      <c r="I28" s="12"/>
      <c r="J28" s="12"/>
      <c r="K28" s="12"/>
      <c r="L28" s="17"/>
      <c r="M28" s="18"/>
      <c r="N28" s="18"/>
      <c r="O28" s="12"/>
      <c r="P28" s="17"/>
      <c r="Q28" s="18"/>
      <c r="R28" s="18"/>
      <c r="S28" s="18"/>
      <c r="T28" s="18"/>
      <c r="U28" s="18"/>
      <c r="V28" s="18"/>
      <c r="W28" s="12"/>
      <c r="X28" s="12"/>
      <c r="Y28" s="17"/>
      <c r="Z28" s="1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2"/>
      <c r="B29" s="12"/>
      <c r="C29" s="12"/>
      <c r="D29" s="12"/>
      <c r="E29" s="17"/>
      <c r="F29" s="12"/>
      <c r="G29" s="12"/>
      <c r="H29" s="18"/>
      <c r="I29" s="12"/>
      <c r="J29" s="12"/>
      <c r="K29" s="12"/>
      <c r="L29" s="17"/>
      <c r="M29" s="18"/>
      <c r="N29" s="18"/>
      <c r="O29" s="12"/>
      <c r="P29" s="17"/>
      <c r="Q29" s="18"/>
      <c r="R29" s="18"/>
      <c r="S29" s="18"/>
      <c r="T29" s="18"/>
      <c r="U29" s="18"/>
      <c r="V29" s="18"/>
      <c r="W29" s="12"/>
      <c r="X29" s="12"/>
      <c r="Y29" s="17"/>
      <c r="Z29" s="12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2"/>
      <c r="B30" s="12"/>
      <c r="C30" s="12"/>
      <c r="D30" s="12"/>
      <c r="E30" s="17"/>
      <c r="F30" s="12"/>
      <c r="G30" s="12"/>
      <c r="H30" s="18"/>
      <c r="I30" s="12"/>
      <c r="J30" s="12"/>
      <c r="K30" s="12"/>
      <c r="L30" s="17"/>
      <c r="M30" s="18"/>
      <c r="N30" s="18"/>
      <c r="O30" s="12"/>
      <c r="P30" s="17"/>
      <c r="Q30" s="18"/>
      <c r="R30" s="18"/>
      <c r="S30" s="18"/>
      <c r="T30" s="18"/>
      <c r="U30" s="18"/>
      <c r="V30" s="18"/>
      <c r="W30" s="12"/>
      <c r="X30" s="12"/>
      <c r="Y30" s="17"/>
      <c r="Z30" s="1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2"/>
      <c r="B31" s="12"/>
      <c r="C31" s="12"/>
      <c r="D31" s="12"/>
      <c r="E31" s="17"/>
      <c r="F31" s="12"/>
      <c r="G31" s="12"/>
      <c r="H31" s="18"/>
      <c r="I31" s="12"/>
      <c r="J31" s="12"/>
      <c r="K31" s="12"/>
      <c r="L31" s="17"/>
      <c r="M31" s="18"/>
      <c r="N31" s="18"/>
      <c r="O31" s="12"/>
      <c r="P31" s="17"/>
      <c r="Q31" s="18"/>
      <c r="R31" s="18"/>
      <c r="S31" s="18"/>
      <c r="T31" s="18"/>
      <c r="U31" s="18"/>
      <c r="V31" s="18"/>
      <c r="W31" s="12"/>
      <c r="X31" s="12"/>
      <c r="Y31" s="17"/>
      <c r="Z31" s="12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2"/>
      <c r="B32" s="12"/>
      <c r="C32" s="12"/>
      <c r="D32" s="12"/>
      <c r="E32" s="17"/>
      <c r="F32" s="12"/>
      <c r="G32" s="12"/>
      <c r="H32" s="18"/>
      <c r="I32" s="12"/>
      <c r="J32" s="12"/>
      <c r="K32" s="12"/>
      <c r="L32" s="17"/>
      <c r="M32" s="18"/>
      <c r="N32" s="18"/>
      <c r="O32" s="12"/>
      <c r="P32" s="17"/>
      <c r="Q32" s="18"/>
      <c r="R32" s="18"/>
      <c r="S32" s="18"/>
      <c r="T32" s="18"/>
      <c r="U32" s="18"/>
      <c r="V32" s="18"/>
      <c r="W32" s="12"/>
      <c r="X32" s="12"/>
      <c r="Y32" s="17"/>
      <c r="Z32" s="12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2"/>
      <c r="B33" s="12"/>
      <c r="C33" s="12"/>
      <c r="D33" s="12"/>
      <c r="E33" s="17"/>
      <c r="F33" s="12"/>
      <c r="G33" s="12"/>
      <c r="H33" s="18"/>
      <c r="I33" s="12"/>
      <c r="J33" s="12"/>
      <c r="K33" s="12"/>
      <c r="L33" s="17"/>
      <c r="M33" s="18"/>
      <c r="N33" s="18"/>
      <c r="O33" s="12"/>
      <c r="P33" s="17"/>
      <c r="Q33" s="18"/>
      <c r="R33" s="18"/>
      <c r="S33" s="18"/>
      <c r="T33" s="18"/>
      <c r="U33" s="18"/>
      <c r="V33" s="18"/>
      <c r="W33" s="12"/>
      <c r="X33" s="12"/>
      <c r="Y33" s="17"/>
      <c r="Z33" s="1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2"/>
      <c r="B34" s="12"/>
      <c r="C34" s="12"/>
      <c r="D34" s="12"/>
      <c r="E34" s="17"/>
      <c r="F34" s="12"/>
      <c r="G34" s="12"/>
      <c r="H34" s="18"/>
      <c r="I34" s="12"/>
      <c r="J34" s="12"/>
      <c r="K34" s="12"/>
      <c r="L34" s="17"/>
      <c r="M34" s="18"/>
      <c r="N34" s="18"/>
      <c r="O34" s="12"/>
      <c r="P34" s="17"/>
      <c r="Q34" s="18"/>
      <c r="R34" s="18"/>
      <c r="S34" s="18"/>
      <c r="T34" s="18"/>
      <c r="U34" s="18"/>
      <c r="V34" s="18"/>
      <c r="W34" s="12"/>
      <c r="X34" s="12"/>
      <c r="Y34" s="17"/>
      <c r="Z34" s="1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2"/>
      <c r="B35" s="12"/>
      <c r="C35" s="12"/>
      <c r="D35" s="12"/>
      <c r="E35" s="17"/>
      <c r="F35" s="12"/>
      <c r="G35" s="12"/>
      <c r="H35" s="18"/>
      <c r="I35" s="12"/>
      <c r="J35" s="12"/>
      <c r="K35" s="12"/>
      <c r="L35" s="17"/>
      <c r="M35" s="18"/>
      <c r="N35" s="18"/>
      <c r="O35" s="12"/>
      <c r="P35" s="17"/>
      <c r="Q35" s="18"/>
      <c r="R35" s="18"/>
      <c r="S35" s="18"/>
      <c r="T35" s="18"/>
      <c r="U35" s="18"/>
      <c r="V35" s="18"/>
      <c r="W35" s="12"/>
      <c r="X35" s="12"/>
      <c r="Y35" s="17"/>
      <c r="Z35" s="1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2"/>
      <c r="B36" s="12"/>
      <c r="C36" s="12"/>
      <c r="D36" s="12"/>
      <c r="E36" s="17"/>
      <c r="F36" s="12"/>
      <c r="G36" s="12"/>
      <c r="H36" s="18"/>
      <c r="I36" s="12"/>
      <c r="J36" s="12"/>
      <c r="K36" s="12"/>
      <c r="L36" s="17"/>
      <c r="M36" s="18"/>
      <c r="N36" s="18"/>
      <c r="O36" s="12"/>
      <c r="P36" s="17"/>
      <c r="Q36" s="18"/>
      <c r="R36" s="18"/>
      <c r="S36" s="18"/>
      <c r="T36" s="18"/>
      <c r="U36" s="18"/>
      <c r="V36" s="18"/>
      <c r="W36" s="12"/>
      <c r="X36" s="12"/>
      <c r="Y36" s="17"/>
      <c r="Z36" s="12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2"/>
      <c r="B37" s="12"/>
      <c r="C37" s="12"/>
      <c r="D37" s="12"/>
      <c r="E37" s="17"/>
      <c r="F37" s="12"/>
      <c r="G37" s="12"/>
      <c r="H37" s="18"/>
      <c r="I37" s="12"/>
      <c r="J37" s="12"/>
      <c r="K37" s="12"/>
      <c r="L37" s="17"/>
      <c r="M37" s="18"/>
      <c r="N37" s="18"/>
      <c r="O37" s="12"/>
      <c r="P37" s="17"/>
      <c r="Q37" s="18"/>
      <c r="R37" s="18"/>
      <c r="S37" s="18"/>
      <c r="T37" s="18"/>
      <c r="U37" s="18"/>
      <c r="V37" s="18"/>
      <c r="W37" s="12"/>
      <c r="X37" s="12"/>
      <c r="Y37" s="17"/>
      <c r="Z37" s="12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2"/>
      <c r="B38" s="12"/>
      <c r="C38" s="12"/>
      <c r="D38" s="12"/>
      <c r="E38" s="17"/>
      <c r="F38" s="12"/>
      <c r="G38" s="12"/>
      <c r="H38" s="18"/>
      <c r="I38" s="12"/>
      <c r="J38" s="12"/>
      <c r="K38" s="12"/>
      <c r="L38" s="17"/>
      <c r="M38" s="18"/>
      <c r="N38" s="18"/>
      <c r="O38" s="12"/>
      <c r="P38" s="17"/>
      <c r="Q38" s="18"/>
      <c r="R38" s="18"/>
      <c r="S38" s="18"/>
      <c r="T38" s="18"/>
      <c r="U38" s="18"/>
      <c r="V38" s="18"/>
      <c r="W38" s="12"/>
      <c r="X38" s="12"/>
      <c r="Y38" s="17"/>
      <c r="Z38" s="12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2"/>
      <c r="B39" s="12"/>
      <c r="C39" s="12"/>
      <c r="D39" s="12"/>
      <c r="E39" s="17"/>
      <c r="F39" s="12"/>
      <c r="G39" s="12"/>
      <c r="H39" s="18"/>
      <c r="I39" s="12"/>
      <c r="J39" s="12"/>
      <c r="K39" s="12"/>
      <c r="L39" s="17"/>
      <c r="M39" s="18"/>
      <c r="N39" s="18"/>
      <c r="O39" s="12"/>
      <c r="P39" s="17"/>
      <c r="Q39" s="18"/>
      <c r="R39" s="18"/>
      <c r="S39" s="18"/>
      <c r="T39" s="18"/>
      <c r="U39" s="18"/>
      <c r="V39" s="18"/>
      <c r="W39" s="12"/>
      <c r="X39" s="12"/>
      <c r="Y39" s="17"/>
      <c r="Z39" s="1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2"/>
      <c r="B40" s="12"/>
      <c r="C40" s="12"/>
      <c r="D40" s="12"/>
      <c r="E40" s="17"/>
      <c r="F40" s="12"/>
      <c r="G40" s="12"/>
      <c r="H40" s="18"/>
      <c r="I40" s="12"/>
      <c r="J40" s="12"/>
      <c r="K40" s="12"/>
      <c r="L40" s="17"/>
      <c r="M40" s="18"/>
      <c r="N40" s="18"/>
      <c r="O40" s="12"/>
      <c r="P40" s="17"/>
      <c r="Q40" s="18"/>
      <c r="R40" s="18"/>
      <c r="S40" s="18"/>
      <c r="T40" s="18"/>
      <c r="U40" s="18"/>
      <c r="V40" s="18"/>
      <c r="W40" s="12"/>
      <c r="X40" s="12"/>
      <c r="Y40" s="17"/>
      <c r="Z40" s="1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2"/>
      <c r="B41" s="12"/>
      <c r="C41" s="12"/>
      <c r="D41" s="12"/>
      <c r="E41" s="17"/>
      <c r="F41" s="12"/>
      <c r="G41" s="12"/>
      <c r="H41" s="18"/>
      <c r="I41" s="12"/>
      <c r="J41" s="12"/>
      <c r="K41" s="12"/>
      <c r="L41" s="17"/>
      <c r="M41" s="18"/>
      <c r="N41" s="18"/>
      <c r="O41" s="12"/>
      <c r="P41" s="17"/>
      <c r="Q41" s="18"/>
      <c r="R41" s="18"/>
      <c r="S41" s="18"/>
      <c r="T41" s="18"/>
      <c r="U41" s="18"/>
      <c r="V41" s="18"/>
      <c r="W41" s="12"/>
      <c r="X41" s="12"/>
      <c r="Y41" s="17"/>
      <c r="Z41" s="1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2"/>
      <c r="B42" s="12"/>
      <c r="C42" s="12"/>
      <c r="D42" s="12"/>
      <c r="E42" s="17"/>
      <c r="F42" s="12"/>
      <c r="G42" s="12"/>
      <c r="H42" s="18"/>
      <c r="I42" s="12"/>
      <c r="J42" s="12"/>
      <c r="K42" s="12"/>
      <c r="L42" s="17"/>
      <c r="M42" s="18"/>
      <c r="N42" s="18"/>
      <c r="O42" s="12"/>
      <c r="P42" s="17"/>
      <c r="Q42" s="18"/>
      <c r="R42" s="18"/>
      <c r="S42" s="18"/>
      <c r="T42" s="18"/>
      <c r="U42" s="18"/>
      <c r="V42" s="18"/>
      <c r="W42" s="12"/>
      <c r="X42" s="12"/>
      <c r="Y42" s="17"/>
      <c r="Z42" s="1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2"/>
      <c r="B43" s="12"/>
      <c r="C43" s="12"/>
      <c r="D43" s="12"/>
      <c r="E43" s="17"/>
      <c r="F43" s="12"/>
      <c r="G43" s="12"/>
      <c r="H43" s="18"/>
      <c r="I43" s="12"/>
      <c r="J43" s="12"/>
      <c r="K43" s="12"/>
      <c r="L43" s="17"/>
      <c r="M43" s="18"/>
      <c r="N43" s="18"/>
      <c r="O43" s="12"/>
      <c r="P43" s="17"/>
      <c r="Q43" s="18"/>
      <c r="R43" s="18"/>
      <c r="S43" s="18"/>
      <c r="T43" s="18"/>
      <c r="U43" s="18"/>
      <c r="V43" s="18"/>
      <c r="W43" s="12"/>
      <c r="X43" s="12"/>
      <c r="Y43" s="17"/>
      <c r="Z43" s="12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2"/>
      <c r="B44" s="12"/>
      <c r="C44" s="12"/>
      <c r="D44" s="12"/>
      <c r="E44" s="17"/>
      <c r="F44" s="12"/>
      <c r="G44" s="12"/>
      <c r="H44" s="18"/>
      <c r="I44" s="12"/>
      <c r="J44" s="12"/>
      <c r="K44" s="12"/>
      <c r="L44" s="17"/>
      <c r="M44" s="18"/>
      <c r="N44" s="18"/>
      <c r="O44" s="12"/>
      <c r="P44" s="17"/>
      <c r="Q44" s="18"/>
      <c r="R44" s="18"/>
      <c r="S44" s="18"/>
      <c r="T44" s="18"/>
      <c r="U44" s="18"/>
      <c r="V44" s="18"/>
      <c r="W44" s="12"/>
      <c r="X44" s="12"/>
      <c r="Y44" s="17"/>
      <c r="Z44" s="12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2"/>
      <c r="B45" s="12"/>
      <c r="C45" s="12"/>
      <c r="D45" s="12"/>
      <c r="E45" s="17"/>
      <c r="F45" s="12"/>
      <c r="G45" s="12"/>
      <c r="H45" s="18"/>
      <c r="I45" s="12"/>
      <c r="J45" s="12"/>
      <c r="K45" s="12"/>
      <c r="L45" s="17"/>
      <c r="M45" s="18"/>
      <c r="N45" s="18"/>
      <c r="O45" s="12"/>
      <c r="P45" s="17"/>
      <c r="Q45" s="18"/>
      <c r="R45" s="18"/>
      <c r="S45" s="18"/>
      <c r="T45" s="18"/>
      <c r="U45" s="18"/>
      <c r="V45" s="18"/>
      <c r="W45" s="12"/>
      <c r="X45" s="12"/>
      <c r="Y45" s="17"/>
      <c r="Z45" s="12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2"/>
      <c r="B46" s="12"/>
      <c r="C46" s="12"/>
      <c r="D46" s="12"/>
      <c r="E46" s="17"/>
      <c r="F46" s="12"/>
      <c r="G46" s="12"/>
      <c r="H46" s="18"/>
      <c r="I46" s="12"/>
      <c r="J46" s="12"/>
      <c r="K46" s="12"/>
      <c r="L46" s="17"/>
      <c r="M46" s="18"/>
      <c r="N46" s="18"/>
      <c r="O46" s="12"/>
      <c r="P46" s="17"/>
      <c r="Q46" s="18"/>
      <c r="R46" s="18"/>
      <c r="S46" s="18"/>
      <c r="T46" s="18"/>
      <c r="U46" s="18"/>
      <c r="V46" s="18"/>
      <c r="W46" s="12"/>
      <c r="X46" s="12"/>
      <c r="Y46" s="17"/>
      <c r="Z46" s="12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2"/>
      <c r="B47" s="12"/>
      <c r="C47" s="12"/>
      <c r="D47" s="12"/>
      <c r="E47" s="17"/>
      <c r="F47" s="12"/>
      <c r="G47" s="12"/>
      <c r="H47" s="18"/>
      <c r="I47" s="12"/>
      <c r="J47" s="12"/>
      <c r="K47" s="12"/>
      <c r="L47" s="17"/>
      <c r="M47" s="18"/>
      <c r="N47" s="18"/>
      <c r="O47" s="12"/>
      <c r="P47" s="17"/>
      <c r="Q47" s="18"/>
      <c r="R47" s="18"/>
      <c r="S47" s="18"/>
      <c r="T47" s="18"/>
      <c r="U47" s="18"/>
      <c r="V47" s="18"/>
      <c r="W47" s="12"/>
      <c r="X47" s="12"/>
      <c r="Y47" s="17"/>
      <c r="Z47" s="1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</sheetData>
  <autoFilter ref="A1:Z36">
    <sortState ref="A2:Z47">
      <sortCondition descending="1" ref="U1:U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M22" sqref="M22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22" t="s">
        <v>6</v>
      </c>
      <c r="C2" s="22"/>
      <c r="D2" s="22"/>
      <c r="E2" s="22"/>
      <c r="F2" s="22"/>
      <c r="G2" s="2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6">
        <f>AVERAGE('Исходные данные (итог. анкета)'!E2:E56)</f>
        <v>8.882352941176471</v>
      </c>
      <c r="C4" s="6">
        <f>AVERAGE('Исходные данные (итог. анкета)'!L2:L56)</f>
        <v>8.8235294117647065</v>
      </c>
      <c r="D4" s="6">
        <f>AVERAGE('Исходные данные (итог. анкета)'!P2:P56)</f>
        <v>9.764705882352942</v>
      </c>
      <c r="E4" s="5">
        <f>COUNTIF('Исходные данные (итог. анкета)'!U2:U56,"нет")/COUNTA('Исходные данные (итог. анкета)'!U2:U498)</f>
        <v>0.88235294117647056</v>
      </c>
      <c r="F4" s="6">
        <f>AVERAGE('Исходные данные (итог. анкета)'!Y2:Y58)</f>
        <v>9.4705882352941178</v>
      </c>
      <c r="G4" s="4">
        <f>AVERAGE(B4:D4,F4)</f>
        <v>9.2352941176470598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2026-07-01T10:24:20Z</dcterms:modified>
</cp:coreProperties>
</file>