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2" l="1"/>
  <c r="E4" i="2"/>
  <c r="D4" i="2"/>
  <c r="C4" i="2"/>
  <c r="B4" i="2" l="1"/>
  <c r="G4" i="2" l="1"/>
</calcChain>
</file>

<file path=xl/sharedStrings.xml><?xml version="1.0" encoding="utf-8"?>
<sst xmlns="http://schemas.openxmlformats.org/spreadsheetml/2006/main" count="273" uniqueCount="151">
  <si>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</si>
  <si>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</si>
  <si>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</si>
  <si>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</si>
  <si>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</si>
  <si>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</si>
  <si>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</si>
  <si>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</si>
  <si>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</si>
  <si>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</si>
  <si>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</si>
  <si>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</si>
  <si>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Был ли достигнут ожидаемый эффект от обучения? Если нет, напишите, пожалуйста, почему?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</si>
  <si>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</si>
  <si>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</si>
  <si>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Достаточно ли практических заданий, примеров, разборов ситуаций? Если нет, какие темы и (или) вопросы требуют большей практической отработки?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</si>
  <si>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</si>
  <si>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</si>
  <si>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</si>
  <si>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Чувствовали ли Вы свою отстраненность от процесса, потерю интереса во время обучения? Если да, в какие моменты обучения они возникали?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</si>
  <si>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</si>
  <si>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</si>
  <si>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</si>
  <si>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</si>
  <si>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</si>
  <si>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</si>
  <si>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</si>
  <si>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да</t>
  </si>
  <si>
    <t>нет</t>
  </si>
  <si>
    <t>Напишите, пожалуйста, почему</t>
  </si>
  <si>
    <t>-</t>
  </si>
  <si>
    <t>Какие темы и (или) вопросы требуют большей практической отработки? Напишите, пожалуйста, почему</t>
  </si>
  <si>
    <t xml:space="preserve"> Напишите, пожалуйста, подробно</t>
  </si>
  <si>
    <t>Напишите, пожалуйста, подробно</t>
  </si>
  <si>
    <t>Если да, в какие моменты обучения они возникали</t>
  </si>
  <si>
    <t>очное обучение в аудиториях Корпоративного университета</t>
  </si>
  <si>
    <t>смешанное обучение: частично очно, частично дистанционно</t>
  </si>
  <si>
    <t>все</t>
  </si>
  <si>
    <t>Все понравилось</t>
  </si>
  <si>
    <t>руководитель</t>
  </si>
  <si>
    <t>специалист</t>
  </si>
  <si>
    <t>Почему Вы решили пройти обучение по данной программе?</t>
  </si>
  <si>
    <t>интерес к данному направлению работы</t>
  </si>
  <si>
    <t>внедрение процесса, процесс картирования</t>
  </si>
  <si>
    <t>первые лекции ГЖИ</t>
  </si>
  <si>
    <t>введение бОльшего практических занятий по внедрению процесса</t>
  </si>
  <si>
    <t>картирование и создание каточки проекта</t>
  </si>
  <si>
    <t>введение занятий на компьютерах для апробирования создания карты потока самостоятельно</t>
  </si>
  <si>
    <t>Лекции Смогоржевского Д. ставить в начало курса</t>
  </si>
  <si>
    <t>полное отстранение от работы (проведение занятий с отрывом от работы)</t>
  </si>
  <si>
    <t>Прекрасный курс для начала работы в ИОГВ по программе Эффективный регион.</t>
  </si>
  <si>
    <t>Направили от отдела образования</t>
  </si>
  <si>
    <t>Вообще не знала об таком процессе.</t>
  </si>
  <si>
    <t>Система 5с, фабрика процессов</t>
  </si>
  <si>
    <t>Много примеров, хотелось бы больше практики.</t>
  </si>
  <si>
    <t>Практикой, попробовать самим сделать таблицу картирования на компьютере.</t>
  </si>
  <si>
    <t>Процесс картирования, создание карточки проекта, чтобы больше погрузиться в правильность исполнения</t>
  </si>
  <si>
    <t>Построить занятия с объяснения понятия, потом пример, практика</t>
  </si>
  <si>
    <t>Побольше практики</t>
  </si>
  <si>
    <t>Все было отлично! Спасибо за напоминание!</t>
  </si>
  <si>
    <t>Направил отдел кадров</t>
  </si>
  <si>
    <t>Вопросы по созданию карточек процессов</t>
  </si>
  <si>
    <t>5S возможно применить на рабочих местах</t>
  </si>
  <si>
    <t>Сократить лекции Волога Ю.В.</t>
  </si>
  <si>
    <t>Выбор и защита карточки проекта</t>
  </si>
  <si>
    <t>Больше практики направленной на реализацию проектов и карт состояний</t>
  </si>
  <si>
    <t>Необходимо обучать начальников отделов пере обучением специалистов</t>
  </si>
  <si>
    <t>Когда завершили защиту проекта</t>
  </si>
  <si>
    <t>вовлеченность начальника</t>
  </si>
  <si>
    <t>Детальное погружение в оптимизацию процессов на рабочем месте</t>
  </si>
  <si>
    <t>Система 5С</t>
  </si>
  <si>
    <t>Уменьшить примеры улучшенных процессов</t>
  </si>
  <si>
    <t>Больше практики, добавить время на подготовку карточки проекта</t>
  </si>
  <si>
    <t>Больше практических заданий</t>
  </si>
  <si>
    <t>Курс следует начинать с теории, далее рассматривать уже улучшенные процессы</t>
  </si>
  <si>
    <t>Практические задания</t>
  </si>
  <si>
    <t>Курс был отличным!</t>
  </si>
  <si>
    <t>направил Отдел кадров</t>
  </si>
  <si>
    <t>оптимизация процесса предоставления услуг гражданам</t>
  </si>
  <si>
    <t>создание и реализация проектного подхода в государственном управлении, бережливое управление</t>
  </si>
  <si>
    <t>весь курс актуален</t>
  </si>
  <si>
    <t>все вопросы затронуты</t>
  </si>
  <si>
    <t>начинать курс нужно с понятий бережливого управления, а не примеров реализации проектов Жилищной инспекции</t>
  </si>
  <si>
    <t>практические занятия</t>
  </si>
  <si>
    <t>обучение полностью понравилось</t>
  </si>
  <si>
    <t>стало интересно чем именно занимаются коллеги Службы в Эффективном регионе, как раз было в перечне на обучении</t>
  </si>
  <si>
    <t>моя непосредственная работа была далеко от проекта Эффективного региона, но хотелось понять чем его инструменты смогут помочь моей работе</t>
  </si>
  <si>
    <t>система 5С полезна, буду использовать для систематизации информации на рабочем столе.</t>
  </si>
  <si>
    <t>да лекции и занятия полезны, но хотелось бы точно сначала теорию, потом практику применения. Работа с картированием Ексель как инструмент изучить</t>
  </si>
  <si>
    <t>все полезно, понравилась фабрика</t>
  </si>
  <si>
    <t>информированность о проведенных уже проектах коллегами</t>
  </si>
  <si>
    <t>нужно дополнить актуальными примерами - проектами в ИОГВ для отсутствия повтора</t>
  </si>
  <si>
    <t>теория, практика, фабрика</t>
  </si>
  <si>
    <t>больше практики с картами процесса и картирование как группой так и самостоятельно до защиты с куратором</t>
  </si>
  <si>
    <t>Вся информация по курсу была полна и увлекательна. Спасибо Всем и преподавателям и куратору. Ждем новых встреч.</t>
  </si>
  <si>
    <t>Направил руководитель</t>
  </si>
  <si>
    <t>В целом курс был полезен, т.к. ранее про программу эффективного региона только слышала, в рамках работы не участвовала.</t>
  </si>
  <si>
    <t>Инструменты диагностики процесса, внедрение ППУ, формирование стратегии мышления на оптимизацию</t>
  </si>
  <si>
    <t>Первые три дня обучения полностью, либо полное их переосмысление по форме подачи материала (может быть выделить эти дни под отработку практических навыков после прохождения теории)</t>
  </si>
  <si>
    <t>Добавить больше практики</t>
  </si>
  <si>
    <t>Отработка всех инструментов диагностики, заполнение карты процесса в эксель</t>
  </si>
  <si>
    <t>Чтобы отработка практических упражнений помогала в подготовке проекта для защиты (наработки и материалы бы использовались для защиты)</t>
  </si>
  <si>
    <t>Из-за усталости, особенно в дни, когда обучение было вечером после работы</t>
  </si>
  <si>
    <t>Изменение графика занятий на дневное время, ввести больше практики</t>
  </si>
  <si>
    <t>Спасибо</t>
  </si>
  <si>
    <t>Необходимость соответствия органа власти требованиям достижения региональных и федеральных уровней проектов для дальнейшего развития и повышения опыта.</t>
  </si>
  <si>
    <t>Картирование процессов для определения уязвимых и критичных мест (ежей).</t>
  </si>
  <si>
    <t>Обмен опытом и знаниями в процессах с коллегами по органами власти (межведомственное взаимодействие).</t>
  </si>
  <si>
    <t>___</t>
  </si>
  <si>
    <t>Практический опыт других органов власти - отвлекает.</t>
  </si>
  <si>
    <t>Больше практических занятий и игровых пособий.</t>
  </si>
  <si>
    <t>Кроссфункциональные процессы.</t>
  </si>
  <si>
    <t>Самостоятельное изучение теории.</t>
  </si>
  <si>
    <t>Азы теории - хотелось бы начать с них...</t>
  </si>
  <si>
    <t>Вовлеченность была полная.</t>
  </si>
  <si>
    <t>Групповой чат и моментальные отклики куратора. Чуткость к графику и занятости. Спасибо.</t>
  </si>
  <si>
    <t>По направлению</t>
  </si>
  <si>
    <t>картирование</t>
  </si>
  <si>
    <t>обмен опытом</t>
  </si>
  <si>
    <t>---</t>
  </si>
  <si>
    <t>излишняя детализация</t>
  </si>
  <si>
    <t>рассмотрение нестандартных проблем</t>
  </si>
  <si>
    <t>переход от общепринятых задач к нестандартным</t>
  </si>
  <si>
    <t>дальнейшая реализация нестандартных для обучения задач</t>
  </si>
  <si>
    <t>полностью дистанционный формат обучения</t>
  </si>
  <si>
    <t>на уровне интуиции</t>
  </si>
  <si>
    <t>По решению представителя нанимателя</t>
  </si>
  <si>
    <t>Выбор и подготовка проекта оптимизации процесса</t>
  </si>
  <si>
    <t>Формирование карточки проекта и последующая работа по его внедрению</t>
  </si>
  <si>
    <t>Пример ГЖИ</t>
  </si>
  <si>
    <t>Больше практических занятие, формирование EXSEL картирования и других этапов процесса</t>
  </si>
  <si>
    <t>Картирование</t>
  </si>
  <si>
    <t>Возможность картирования в EXSEL</t>
  </si>
  <si>
    <t>Первые лекции</t>
  </si>
  <si>
    <t>Компетентность лектора</t>
  </si>
  <si>
    <t>Наличие обратной связи</t>
  </si>
  <si>
    <t>Оптимизация процессов- для дальнейшей работы</t>
  </si>
  <si>
    <t>Формирование карточки проекта</t>
  </si>
  <si>
    <t>Первые три дня просто исключить</t>
  </si>
  <si>
    <t>Больше практических знаний, особенно при составлений карточки проекта</t>
  </si>
  <si>
    <t>все было интересно</t>
  </si>
  <si>
    <t>Практические занятия</t>
  </si>
  <si>
    <t>По направлению руководител</t>
  </si>
  <si>
    <t>в целом концепция бережливого управления, потому что актуально</t>
  </si>
  <si>
    <t>инструменты бережливого управления</t>
  </si>
  <si>
    <t>первые три дня</t>
  </si>
  <si>
    <t>практикой</t>
  </si>
  <si>
    <t>все изученные инструменты бережливого управления хотелось бы применить на практике во время обучения, чтобы получить обратную связь от преподавателя. В теории всё понятно, а на практике оказывается множество нюансов и вопросо</t>
  </si>
  <si>
    <t>готовить итоговый проект на занятиях</t>
  </si>
  <si>
    <t>первый лектор - практик и рассказывал про примеры из собственного опыта, когда мы вообще ещё не были ознакомлены с теорией. Поэтому было непонятно и не очень полезно.</t>
  </si>
  <si>
    <t>организация чёткая, чат позволяет быть на связи. напоминания в чате помогают помнить о занятии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</si>
</sst>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0" fillId="0" borderId="0" xfId="0" applyNumberFormat="1" applyAlignment="1">
      <alignment wrapText="1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/>
    <xf numFmtId="0" fontId="0" fillId="0" borderId="0" xfId="0" applyNumberFormat="1" applyBorder="1" applyAlignment="1">
      <alignment vertical="top" wrapText="1"/>
    </xf>
    <xf numFmtId="0" fontId="0" fillId="0" borderId="0" xfId="0" applyNumberFormat="1" applyBorder="1" applyAlignment="1">
      <alignment horizontal="center" vertical="top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vertical="top"/>
    </xf>
    <xf numFmtId="0" fontId="0" fillId="0" borderId="0" xfId="0" applyNumberFormat="1" applyBorder="1" applyAlignment="1">
      <alignment wrapText="1"/>
    </xf>
    <xf numFmtId="0" fontId="0" fillId="0" borderId="0" xfId="0" applyNumberFormat="1" applyBorder="1"/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6"/>
  <sheetViews>
    <sheetView tabSelected="1" zoomScale="70" zoomScaleNormal="70" workbookViewId="0">
      <selection activeCell="A2" sqref="A2:B13"/>
    </sheetView>
  </sheetViews>
  <sheetFormatPr defaultRowHeight="15" x14ac:dyDescent="0.25"/>
  <cols>
    <col min="1" max="1" width="22.28515625" customWidth="1"/>
    <col min="2" max="2" width="15.28515625" customWidth="1"/>
    <col min="3" max="3" width="13.85546875" customWidth="1"/>
    <col min="4" max="4" width="23" customWidth="1"/>
    <col min="5" max="5" width="18.28515625" customWidth="1"/>
    <col min="6" max="6" width="26.85546875" customWidth="1"/>
    <col min="7" max="7" width="30.28515625" customWidth="1"/>
    <col min="8" max="8" width="14" customWidth="1"/>
    <col min="9" max="9" width="13.5703125" customWidth="1"/>
    <col min="10" max="10" width="26.5703125" customWidth="1"/>
    <col min="11" max="11" width="30.28515625" customWidth="1"/>
    <col min="12" max="12" width="14.85546875" customWidth="1"/>
    <col min="13" max="13" width="19.42578125" customWidth="1"/>
    <col min="14" max="14" width="25.7109375" customWidth="1"/>
    <col min="15" max="15" width="25.140625" customWidth="1"/>
    <col min="16" max="16" width="18.28515625" customWidth="1"/>
    <col min="17" max="17" width="16.7109375" customWidth="1"/>
    <col min="18" max="18" width="40.85546875" customWidth="1"/>
    <col min="19" max="19" width="17" customWidth="1"/>
    <col min="20" max="20" width="12" customWidth="1"/>
    <col min="21" max="21" width="15.7109375" customWidth="1"/>
    <col min="22" max="22" width="19" customWidth="1"/>
    <col min="23" max="23" width="24" customWidth="1"/>
    <col min="24" max="24" width="24.28515625" customWidth="1"/>
    <col min="25" max="25" width="21.28515625" customWidth="1"/>
    <col min="26" max="26" width="52.42578125" customWidth="1"/>
    <col min="27" max="27" width="21.140625" customWidth="1"/>
    <col min="28" max="28" width="20.28515625" customWidth="1"/>
  </cols>
  <sheetData>
    <row r="1" spans="1:106" ht="345" x14ac:dyDescent="0.25">
      <c r="A1" s="6" t="s">
        <v>7</v>
      </c>
      <c r="B1" s="6" t="s">
        <v>8</v>
      </c>
      <c r="C1" s="6" t="s">
        <v>9</v>
      </c>
      <c r="D1" s="6" t="s">
        <v>41</v>
      </c>
      <c r="E1" s="5" t="s">
        <v>23</v>
      </c>
      <c r="F1" s="6" t="s">
        <v>10</v>
      </c>
      <c r="G1" s="6" t="s">
        <v>11</v>
      </c>
      <c r="H1" s="6" t="s">
        <v>12</v>
      </c>
      <c r="I1" s="6" t="s">
        <v>29</v>
      </c>
      <c r="J1" s="6" t="s">
        <v>13</v>
      </c>
      <c r="K1" s="6" t="s">
        <v>14</v>
      </c>
      <c r="L1" s="5" t="s">
        <v>24</v>
      </c>
      <c r="M1" s="6" t="s">
        <v>15</v>
      </c>
      <c r="N1" s="6" t="s">
        <v>31</v>
      </c>
      <c r="O1" s="6" t="s">
        <v>16</v>
      </c>
      <c r="P1" s="5" t="s">
        <v>25</v>
      </c>
      <c r="Q1" s="6" t="s">
        <v>17</v>
      </c>
      <c r="R1" s="6" t="s">
        <v>32</v>
      </c>
      <c r="S1" s="6" t="s">
        <v>18</v>
      </c>
      <c r="T1" s="6" t="s">
        <v>33</v>
      </c>
      <c r="U1" s="6" t="s">
        <v>19</v>
      </c>
      <c r="V1" s="6" t="s">
        <v>34</v>
      </c>
      <c r="W1" s="6" t="s">
        <v>20</v>
      </c>
      <c r="X1" s="6" t="s">
        <v>21</v>
      </c>
      <c r="Y1" s="6" t="s">
        <v>26</v>
      </c>
      <c r="Z1" s="6" t="s">
        <v>22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s="12" customFormat="1" x14ac:dyDescent="0.25">
      <c r="A2" s="13"/>
      <c r="B2" s="13"/>
      <c r="C2" s="13" t="s">
        <v>40</v>
      </c>
      <c r="D2" s="13" t="s">
        <v>42</v>
      </c>
      <c r="E2" s="22">
        <v>10</v>
      </c>
      <c r="F2" s="13" t="s">
        <v>43</v>
      </c>
      <c r="G2" s="13" t="s">
        <v>37</v>
      </c>
      <c r="H2" s="13" t="s">
        <v>27</v>
      </c>
      <c r="I2" s="13" t="s">
        <v>30</v>
      </c>
      <c r="J2" s="13" t="s">
        <v>44</v>
      </c>
      <c r="K2" s="13" t="s">
        <v>45</v>
      </c>
      <c r="L2" s="22">
        <v>6</v>
      </c>
      <c r="M2" s="23" t="s">
        <v>28</v>
      </c>
      <c r="N2" s="13" t="s">
        <v>46</v>
      </c>
      <c r="O2" s="13" t="s">
        <v>47</v>
      </c>
      <c r="P2" s="22">
        <v>10</v>
      </c>
      <c r="Q2" s="23" t="s">
        <v>28</v>
      </c>
      <c r="R2" s="13" t="s">
        <v>48</v>
      </c>
      <c r="S2" s="23" t="s">
        <v>27</v>
      </c>
      <c r="T2" s="23" t="s">
        <v>30</v>
      </c>
      <c r="U2" s="23" t="s">
        <v>28</v>
      </c>
      <c r="V2" s="13" t="s">
        <v>30</v>
      </c>
      <c r="W2" s="13" t="s">
        <v>49</v>
      </c>
      <c r="X2" s="13" t="s">
        <v>35</v>
      </c>
      <c r="Y2" s="22">
        <v>10</v>
      </c>
      <c r="Z2" s="13" t="s">
        <v>50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</row>
    <row r="3" spans="1:106" s="12" customFormat="1" x14ac:dyDescent="0.25">
      <c r="A3" s="13"/>
      <c r="B3" s="13"/>
      <c r="C3" s="13" t="s">
        <v>40</v>
      </c>
      <c r="D3" s="13" t="s">
        <v>51</v>
      </c>
      <c r="E3" s="22">
        <v>10</v>
      </c>
      <c r="F3" s="13" t="s">
        <v>52</v>
      </c>
      <c r="G3" s="13" t="s">
        <v>53</v>
      </c>
      <c r="H3" s="13" t="s">
        <v>27</v>
      </c>
      <c r="I3" s="13" t="s">
        <v>30</v>
      </c>
      <c r="J3" s="13" t="s">
        <v>54</v>
      </c>
      <c r="K3" s="13" t="s">
        <v>55</v>
      </c>
      <c r="L3" s="22">
        <v>7</v>
      </c>
      <c r="M3" s="23" t="s">
        <v>28</v>
      </c>
      <c r="N3" s="13" t="s">
        <v>56</v>
      </c>
      <c r="O3" s="13" t="s">
        <v>30</v>
      </c>
      <c r="P3" s="22">
        <v>10</v>
      </c>
      <c r="Q3" s="23" t="s">
        <v>28</v>
      </c>
      <c r="R3" s="13" t="s">
        <v>57</v>
      </c>
      <c r="S3" s="23" t="s">
        <v>27</v>
      </c>
      <c r="T3" s="23" t="s">
        <v>30</v>
      </c>
      <c r="U3" s="23" t="s">
        <v>28</v>
      </c>
      <c r="V3" s="13" t="s">
        <v>30</v>
      </c>
      <c r="W3" s="13" t="s">
        <v>58</v>
      </c>
      <c r="X3" s="13" t="s">
        <v>36</v>
      </c>
      <c r="Y3" s="22">
        <v>10</v>
      </c>
      <c r="Z3" s="13" t="s">
        <v>59</v>
      </c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</row>
    <row r="4" spans="1:106" s="12" customFormat="1" x14ac:dyDescent="0.25">
      <c r="A4" s="13"/>
      <c r="B4" s="13"/>
      <c r="C4" s="13" t="s">
        <v>40</v>
      </c>
      <c r="D4" s="13" t="s">
        <v>60</v>
      </c>
      <c r="E4" s="22">
        <v>8</v>
      </c>
      <c r="F4" s="13" t="s">
        <v>61</v>
      </c>
      <c r="G4" s="13" t="s">
        <v>62</v>
      </c>
      <c r="H4" s="13" t="s">
        <v>27</v>
      </c>
      <c r="I4" s="13" t="s">
        <v>30</v>
      </c>
      <c r="J4" s="13" t="s">
        <v>63</v>
      </c>
      <c r="K4" s="13" t="s">
        <v>64</v>
      </c>
      <c r="L4" s="22">
        <v>8</v>
      </c>
      <c r="M4" s="23" t="s">
        <v>28</v>
      </c>
      <c r="N4" s="13" t="s">
        <v>65</v>
      </c>
      <c r="O4" s="13" t="s">
        <v>66</v>
      </c>
      <c r="P4" s="22">
        <v>10</v>
      </c>
      <c r="Q4" s="23" t="s">
        <v>27</v>
      </c>
      <c r="R4" s="13" t="s">
        <v>30</v>
      </c>
      <c r="S4" s="23" t="s">
        <v>27</v>
      </c>
      <c r="T4" s="23" t="s">
        <v>30</v>
      </c>
      <c r="U4" s="23" t="s">
        <v>27</v>
      </c>
      <c r="V4" s="13" t="s">
        <v>67</v>
      </c>
      <c r="W4" s="13" t="s">
        <v>68</v>
      </c>
      <c r="X4" s="13" t="s">
        <v>35</v>
      </c>
      <c r="Y4" s="22">
        <v>10</v>
      </c>
      <c r="Z4" s="13" t="s">
        <v>38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</row>
    <row r="5" spans="1:106" s="12" customFormat="1" x14ac:dyDescent="0.25">
      <c r="A5" s="13"/>
      <c r="B5" s="13"/>
      <c r="C5" s="13" t="s">
        <v>40</v>
      </c>
      <c r="D5" s="13" t="s">
        <v>60</v>
      </c>
      <c r="E5" s="22">
        <v>10</v>
      </c>
      <c r="F5" s="13" t="s">
        <v>69</v>
      </c>
      <c r="G5" s="13" t="s">
        <v>70</v>
      </c>
      <c r="H5" s="13" t="s">
        <v>27</v>
      </c>
      <c r="I5" s="13" t="s">
        <v>30</v>
      </c>
      <c r="J5" s="13" t="s">
        <v>71</v>
      </c>
      <c r="K5" s="13" t="s">
        <v>72</v>
      </c>
      <c r="L5" s="22">
        <v>5</v>
      </c>
      <c r="M5" s="23" t="s">
        <v>28</v>
      </c>
      <c r="N5" s="13" t="s">
        <v>73</v>
      </c>
      <c r="O5" s="13" t="s">
        <v>30</v>
      </c>
      <c r="P5" s="22">
        <v>10</v>
      </c>
      <c r="Q5" s="23" t="s">
        <v>28</v>
      </c>
      <c r="R5" s="13" t="s">
        <v>74</v>
      </c>
      <c r="S5" s="23" t="s">
        <v>27</v>
      </c>
      <c r="T5" s="23" t="s">
        <v>30</v>
      </c>
      <c r="U5" s="23" t="s">
        <v>28</v>
      </c>
      <c r="V5" s="13" t="s">
        <v>30</v>
      </c>
      <c r="W5" s="13" t="s">
        <v>75</v>
      </c>
      <c r="X5" s="13" t="s">
        <v>35</v>
      </c>
      <c r="Y5" s="22">
        <v>10</v>
      </c>
      <c r="Z5" s="13" t="s">
        <v>76</v>
      </c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</row>
    <row r="6" spans="1:106" s="12" customFormat="1" x14ac:dyDescent="0.25">
      <c r="A6" s="13"/>
      <c r="B6" s="13"/>
      <c r="C6" s="13" t="s">
        <v>40</v>
      </c>
      <c r="D6" s="13" t="s">
        <v>77</v>
      </c>
      <c r="E6" s="22">
        <v>10</v>
      </c>
      <c r="F6" s="13" t="s">
        <v>78</v>
      </c>
      <c r="G6" s="13" t="s">
        <v>79</v>
      </c>
      <c r="H6" s="13" t="s">
        <v>27</v>
      </c>
      <c r="I6" s="13" t="s">
        <v>30</v>
      </c>
      <c r="J6" s="13" t="s">
        <v>80</v>
      </c>
      <c r="K6" s="13" t="s">
        <v>81</v>
      </c>
      <c r="L6" s="22">
        <v>10</v>
      </c>
      <c r="M6" s="23" t="s">
        <v>27</v>
      </c>
      <c r="N6" s="13" t="s">
        <v>30</v>
      </c>
      <c r="O6" s="13" t="s">
        <v>82</v>
      </c>
      <c r="P6" s="22">
        <v>10</v>
      </c>
      <c r="Q6" s="23" t="s">
        <v>27</v>
      </c>
      <c r="R6" s="13" t="s">
        <v>30</v>
      </c>
      <c r="S6" s="23" t="s">
        <v>27</v>
      </c>
      <c r="T6" s="23" t="s">
        <v>30</v>
      </c>
      <c r="U6" s="23" t="s">
        <v>28</v>
      </c>
      <c r="V6" s="13" t="s">
        <v>30</v>
      </c>
      <c r="W6" s="13" t="s">
        <v>83</v>
      </c>
      <c r="X6" s="13" t="s">
        <v>36</v>
      </c>
      <c r="Y6" s="22">
        <v>10</v>
      </c>
      <c r="Z6" s="13" t="s">
        <v>84</v>
      </c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</row>
    <row r="7" spans="1:106" s="12" customFormat="1" x14ac:dyDescent="0.25">
      <c r="A7" s="13"/>
      <c r="B7" s="13"/>
      <c r="C7" s="13" t="s">
        <v>40</v>
      </c>
      <c r="D7" s="13" t="s">
        <v>85</v>
      </c>
      <c r="E7" s="22">
        <v>9</v>
      </c>
      <c r="F7" s="13" t="s">
        <v>86</v>
      </c>
      <c r="G7" s="13" t="s">
        <v>87</v>
      </c>
      <c r="H7" s="13" t="s">
        <v>27</v>
      </c>
      <c r="I7" s="13" t="s">
        <v>88</v>
      </c>
      <c r="J7" s="13" t="s">
        <v>89</v>
      </c>
      <c r="K7" s="13" t="s">
        <v>90</v>
      </c>
      <c r="L7" s="22">
        <v>9</v>
      </c>
      <c r="M7" s="23" t="s">
        <v>28</v>
      </c>
      <c r="N7" s="13" t="s">
        <v>91</v>
      </c>
      <c r="O7" s="13" t="s">
        <v>92</v>
      </c>
      <c r="P7" s="22">
        <v>10</v>
      </c>
      <c r="Q7" s="23" t="s">
        <v>27</v>
      </c>
      <c r="R7" s="13" t="s">
        <v>30</v>
      </c>
      <c r="S7" s="23" t="s">
        <v>27</v>
      </c>
      <c r="T7" s="23" t="s">
        <v>30</v>
      </c>
      <c r="U7" s="23" t="s">
        <v>27</v>
      </c>
      <c r="V7" s="13" t="s">
        <v>30</v>
      </c>
      <c r="W7" s="13" t="s">
        <v>93</v>
      </c>
      <c r="X7" s="13" t="s">
        <v>36</v>
      </c>
      <c r="Y7" s="22">
        <v>10</v>
      </c>
      <c r="Z7" s="13" t="s">
        <v>94</v>
      </c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</row>
    <row r="8" spans="1:106" s="12" customFormat="1" x14ac:dyDescent="0.25">
      <c r="A8" s="13"/>
      <c r="B8" s="13"/>
      <c r="C8" s="13" t="s">
        <v>40</v>
      </c>
      <c r="D8" s="13" t="s">
        <v>95</v>
      </c>
      <c r="E8" s="22">
        <v>5</v>
      </c>
      <c r="F8" s="13" t="s">
        <v>96</v>
      </c>
      <c r="G8" s="13" t="s">
        <v>97</v>
      </c>
      <c r="H8" s="13" t="s">
        <v>27</v>
      </c>
      <c r="I8" s="13" t="s">
        <v>30</v>
      </c>
      <c r="J8" s="13" t="s">
        <v>98</v>
      </c>
      <c r="K8" s="13" t="s">
        <v>99</v>
      </c>
      <c r="L8" s="22">
        <v>7</v>
      </c>
      <c r="M8" s="23" t="s">
        <v>28</v>
      </c>
      <c r="N8" s="13" t="s">
        <v>100</v>
      </c>
      <c r="O8" s="13" t="s">
        <v>101</v>
      </c>
      <c r="P8" s="22">
        <v>9</v>
      </c>
      <c r="Q8" s="23" t="s">
        <v>27</v>
      </c>
      <c r="R8" s="13" t="s">
        <v>30</v>
      </c>
      <c r="S8" s="23" t="s">
        <v>27</v>
      </c>
      <c r="T8" s="23" t="s">
        <v>30</v>
      </c>
      <c r="U8" s="23" t="s">
        <v>27</v>
      </c>
      <c r="V8" s="13" t="s">
        <v>102</v>
      </c>
      <c r="W8" s="13" t="s">
        <v>103</v>
      </c>
      <c r="X8" s="13" t="s">
        <v>36</v>
      </c>
      <c r="Y8" s="22">
        <v>10</v>
      </c>
      <c r="Z8" s="13" t="s">
        <v>104</v>
      </c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</row>
    <row r="9" spans="1:106" s="12" customFormat="1" x14ac:dyDescent="0.25">
      <c r="A9" s="13"/>
      <c r="B9" s="13"/>
      <c r="C9" s="13" t="s">
        <v>39</v>
      </c>
      <c r="D9" s="13" t="s">
        <v>105</v>
      </c>
      <c r="E9" s="22">
        <v>10</v>
      </c>
      <c r="F9" s="13" t="s">
        <v>106</v>
      </c>
      <c r="G9" s="13" t="s">
        <v>107</v>
      </c>
      <c r="H9" s="13" t="s">
        <v>27</v>
      </c>
      <c r="I9" s="13" t="s">
        <v>108</v>
      </c>
      <c r="J9" s="13" t="s">
        <v>109</v>
      </c>
      <c r="K9" s="13" t="s">
        <v>110</v>
      </c>
      <c r="L9" s="22">
        <v>8</v>
      </c>
      <c r="M9" s="23" t="s">
        <v>28</v>
      </c>
      <c r="N9" s="13" t="s">
        <v>111</v>
      </c>
      <c r="O9" s="13" t="s">
        <v>112</v>
      </c>
      <c r="P9" s="22">
        <v>10</v>
      </c>
      <c r="Q9" s="23" t="s">
        <v>28</v>
      </c>
      <c r="R9" s="13" t="s">
        <v>113</v>
      </c>
      <c r="S9" s="23" t="s">
        <v>27</v>
      </c>
      <c r="T9" s="23" t="s">
        <v>108</v>
      </c>
      <c r="U9" s="23" t="s">
        <v>28</v>
      </c>
      <c r="V9" s="13" t="s">
        <v>108</v>
      </c>
      <c r="W9" s="13" t="s">
        <v>114</v>
      </c>
      <c r="X9" s="13" t="s">
        <v>35</v>
      </c>
      <c r="Y9" s="22">
        <v>10</v>
      </c>
      <c r="Z9" s="13" t="s">
        <v>115</v>
      </c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</row>
    <row r="10" spans="1:106" s="12" customFormat="1" x14ac:dyDescent="0.25">
      <c r="A10" s="13"/>
      <c r="B10" s="13"/>
      <c r="C10" s="13" t="s">
        <v>39</v>
      </c>
      <c r="D10" s="13" t="s">
        <v>116</v>
      </c>
      <c r="E10" s="22">
        <v>5</v>
      </c>
      <c r="F10" s="13" t="s">
        <v>117</v>
      </c>
      <c r="G10" s="13" t="s">
        <v>118</v>
      </c>
      <c r="H10" s="13" t="s">
        <v>27</v>
      </c>
      <c r="I10" s="13" t="s">
        <v>119</v>
      </c>
      <c r="J10" s="13" t="s">
        <v>120</v>
      </c>
      <c r="K10" s="13" t="s">
        <v>121</v>
      </c>
      <c r="L10" s="22">
        <v>5</v>
      </c>
      <c r="M10" s="23" t="s">
        <v>27</v>
      </c>
      <c r="N10" s="13" t="s">
        <v>119</v>
      </c>
      <c r="O10" s="13" t="s">
        <v>122</v>
      </c>
      <c r="P10" s="22">
        <v>5</v>
      </c>
      <c r="Q10" s="23" t="s">
        <v>27</v>
      </c>
      <c r="R10" s="13" t="s">
        <v>119</v>
      </c>
      <c r="S10" s="23" t="s">
        <v>27</v>
      </c>
      <c r="T10" s="23" t="s">
        <v>119</v>
      </c>
      <c r="U10" s="23" t="s">
        <v>28</v>
      </c>
      <c r="V10" s="13" t="s">
        <v>119</v>
      </c>
      <c r="W10" s="13" t="s">
        <v>123</v>
      </c>
      <c r="X10" s="13" t="s">
        <v>124</v>
      </c>
      <c r="Y10" s="22">
        <v>10</v>
      </c>
      <c r="Z10" s="13" t="s">
        <v>125</v>
      </c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</row>
    <row r="11" spans="1:106" s="12" customFormat="1" x14ac:dyDescent="0.25">
      <c r="A11" s="13"/>
      <c r="B11" s="13"/>
      <c r="C11" s="13" t="s">
        <v>39</v>
      </c>
      <c r="D11" s="13" t="s">
        <v>126</v>
      </c>
      <c r="E11" s="22">
        <v>6</v>
      </c>
      <c r="F11" s="13" t="s">
        <v>127</v>
      </c>
      <c r="G11" s="13" t="s">
        <v>128</v>
      </c>
      <c r="H11" s="13" t="s">
        <v>27</v>
      </c>
      <c r="I11" s="13" t="s">
        <v>30</v>
      </c>
      <c r="J11" s="13" t="s">
        <v>129</v>
      </c>
      <c r="K11" s="13" t="s">
        <v>130</v>
      </c>
      <c r="L11" s="22">
        <v>6</v>
      </c>
      <c r="M11" s="23" t="s">
        <v>28</v>
      </c>
      <c r="N11" s="13" t="s">
        <v>131</v>
      </c>
      <c r="O11" s="13" t="s">
        <v>132</v>
      </c>
      <c r="P11" s="22">
        <v>8</v>
      </c>
      <c r="Q11" s="23" t="s">
        <v>28</v>
      </c>
      <c r="R11" s="13" t="s">
        <v>30</v>
      </c>
      <c r="S11" s="23" t="s">
        <v>27</v>
      </c>
      <c r="T11" s="23" t="s">
        <v>30</v>
      </c>
      <c r="U11" s="23" t="s">
        <v>27</v>
      </c>
      <c r="V11" s="13" t="s">
        <v>133</v>
      </c>
      <c r="W11" s="13" t="s">
        <v>134</v>
      </c>
      <c r="X11" s="13" t="s">
        <v>36</v>
      </c>
      <c r="Y11" s="22">
        <v>10</v>
      </c>
      <c r="Z11" s="13" t="s">
        <v>135</v>
      </c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</row>
    <row r="12" spans="1:106" s="12" customFormat="1" x14ac:dyDescent="0.25">
      <c r="A12" s="13"/>
      <c r="B12" s="13"/>
      <c r="C12" s="13" t="s">
        <v>40</v>
      </c>
      <c r="D12" s="13" t="s">
        <v>126</v>
      </c>
      <c r="E12" s="22">
        <v>10</v>
      </c>
      <c r="F12" s="13" t="s">
        <v>136</v>
      </c>
      <c r="G12" s="13" t="s">
        <v>137</v>
      </c>
      <c r="H12" s="13" t="s">
        <v>27</v>
      </c>
      <c r="I12" s="13" t="s">
        <v>30</v>
      </c>
      <c r="J12" s="13" t="s">
        <v>138</v>
      </c>
      <c r="K12" s="13" t="s">
        <v>139</v>
      </c>
      <c r="L12" s="22">
        <v>10</v>
      </c>
      <c r="M12" s="23" t="s">
        <v>27</v>
      </c>
      <c r="N12" s="13" t="s">
        <v>30</v>
      </c>
      <c r="O12" s="13" t="s">
        <v>140</v>
      </c>
      <c r="P12" s="22">
        <v>10</v>
      </c>
      <c r="Q12" s="23" t="s">
        <v>27</v>
      </c>
      <c r="R12" s="13" t="s">
        <v>30</v>
      </c>
      <c r="S12" s="23" t="s">
        <v>27</v>
      </c>
      <c r="T12" s="23" t="s">
        <v>30</v>
      </c>
      <c r="U12" s="23" t="s">
        <v>27</v>
      </c>
      <c r="V12" s="13" t="s">
        <v>30</v>
      </c>
      <c r="W12" s="13" t="s">
        <v>141</v>
      </c>
      <c r="X12" s="13" t="s">
        <v>35</v>
      </c>
      <c r="Y12" s="22">
        <v>10</v>
      </c>
      <c r="Z12" s="13" t="s">
        <v>135</v>
      </c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</row>
    <row r="13" spans="1:106" s="12" customFormat="1" x14ac:dyDescent="0.25">
      <c r="A13" s="13"/>
      <c r="B13" s="13"/>
      <c r="C13" s="13" t="s">
        <v>40</v>
      </c>
      <c r="D13" s="13" t="s">
        <v>142</v>
      </c>
      <c r="E13" s="22">
        <v>9</v>
      </c>
      <c r="F13" s="13" t="s">
        <v>143</v>
      </c>
      <c r="G13" s="13" t="s">
        <v>144</v>
      </c>
      <c r="H13" s="13" t="s">
        <v>27</v>
      </c>
      <c r="I13" s="13" t="s">
        <v>30</v>
      </c>
      <c r="J13" s="13" t="s">
        <v>145</v>
      </c>
      <c r="K13" s="13" t="s">
        <v>146</v>
      </c>
      <c r="L13" s="22">
        <v>10</v>
      </c>
      <c r="M13" s="23" t="s">
        <v>28</v>
      </c>
      <c r="N13" s="13" t="s">
        <v>147</v>
      </c>
      <c r="O13" s="13" t="s">
        <v>148</v>
      </c>
      <c r="P13" s="22">
        <v>10</v>
      </c>
      <c r="Q13" s="23" t="s">
        <v>28</v>
      </c>
      <c r="R13" s="13" t="s">
        <v>149</v>
      </c>
      <c r="S13" s="23" t="s">
        <v>27</v>
      </c>
      <c r="T13" s="23" t="s">
        <v>30</v>
      </c>
      <c r="U13" s="23" t="s">
        <v>28</v>
      </c>
      <c r="V13" s="13" t="s">
        <v>30</v>
      </c>
      <c r="W13" s="13" t="s">
        <v>30</v>
      </c>
      <c r="X13" s="13" t="s">
        <v>36</v>
      </c>
      <c r="Y13" s="22">
        <v>10</v>
      </c>
      <c r="Z13" s="13" t="s">
        <v>150</v>
      </c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</row>
    <row r="14" spans="1:106" s="17" customFormat="1" x14ac:dyDescent="0.25">
      <c r="A14" s="14"/>
      <c r="B14" s="14"/>
      <c r="C14" s="14"/>
      <c r="D14" s="14"/>
      <c r="E14" s="15"/>
      <c r="F14" s="14"/>
      <c r="G14" s="14"/>
      <c r="H14" s="15"/>
      <c r="I14" s="14"/>
      <c r="J14" s="14"/>
      <c r="K14" s="14"/>
      <c r="L14" s="15"/>
      <c r="M14" s="14"/>
      <c r="N14" s="14"/>
      <c r="O14" s="14"/>
      <c r="P14" s="15"/>
      <c r="Q14" s="14"/>
      <c r="R14" s="14"/>
      <c r="S14" s="14"/>
      <c r="T14" s="14"/>
      <c r="U14" s="14"/>
      <c r="V14" s="14"/>
      <c r="W14" s="14"/>
      <c r="X14" s="14"/>
      <c r="Y14" s="15"/>
      <c r="Z14" s="14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</row>
    <row r="15" spans="1:106" s="17" customFormat="1" x14ac:dyDescent="0.25">
      <c r="A15" s="14"/>
      <c r="B15" s="14"/>
      <c r="C15" s="14"/>
      <c r="D15" s="14"/>
      <c r="E15" s="15"/>
      <c r="F15" s="14"/>
      <c r="G15" s="14"/>
      <c r="H15" s="15"/>
      <c r="I15" s="14"/>
      <c r="J15" s="14"/>
      <c r="K15" s="14"/>
      <c r="L15" s="15"/>
      <c r="M15" s="14"/>
      <c r="N15" s="14"/>
      <c r="O15" s="14"/>
      <c r="P15" s="15"/>
      <c r="Q15" s="14"/>
      <c r="R15" s="14"/>
      <c r="S15" s="14"/>
      <c r="T15" s="14"/>
      <c r="U15" s="14"/>
      <c r="V15" s="14"/>
      <c r="W15" s="14"/>
      <c r="X15" s="14"/>
      <c r="Y15" s="15"/>
      <c r="Z15" s="14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</row>
    <row r="16" spans="1:106" s="17" customFormat="1" x14ac:dyDescent="0.25">
      <c r="A16" s="14"/>
      <c r="B16" s="14"/>
      <c r="C16" s="14"/>
      <c r="D16" s="14"/>
      <c r="E16" s="15"/>
      <c r="F16" s="14"/>
      <c r="G16" s="14"/>
      <c r="H16" s="15"/>
      <c r="I16" s="14"/>
      <c r="J16" s="14"/>
      <c r="K16" s="14"/>
      <c r="L16" s="15"/>
      <c r="M16" s="14"/>
      <c r="N16" s="14"/>
      <c r="O16" s="14"/>
      <c r="P16" s="15"/>
      <c r="Q16" s="14"/>
      <c r="R16" s="14"/>
      <c r="S16" s="14"/>
      <c r="T16" s="14"/>
      <c r="U16" s="14"/>
      <c r="V16" s="14"/>
      <c r="W16" s="14"/>
      <c r="X16" s="14"/>
      <c r="Y16" s="15"/>
      <c r="Z16" s="14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</row>
    <row r="17" spans="1:106" s="17" customFormat="1" x14ac:dyDescent="0.25">
      <c r="A17" s="14"/>
      <c r="B17" s="14"/>
      <c r="C17" s="14"/>
      <c r="D17" s="14"/>
      <c r="E17" s="15"/>
      <c r="F17" s="14"/>
      <c r="G17" s="14"/>
      <c r="H17" s="15"/>
      <c r="I17" s="14"/>
      <c r="J17" s="14"/>
      <c r="K17" s="14"/>
      <c r="L17" s="15"/>
      <c r="M17" s="14"/>
      <c r="N17" s="14"/>
      <c r="O17" s="14"/>
      <c r="P17" s="15"/>
      <c r="Q17" s="14"/>
      <c r="R17" s="14"/>
      <c r="S17" s="14"/>
      <c r="T17" s="14"/>
      <c r="U17" s="14"/>
      <c r="V17" s="14"/>
      <c r="W17" s="14"/>
      <c r="X17" s="14"/>
      <c r="Y17" s="15"/>
      <c r="Z17" s="14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</row>
    <row r="18" spans="1:106" s="17" customFormat="1" x14ac:dyDescent="0.25">
      <c r="A18" s="14"/>
      <c r="B18" s="14"/>
      <c r="C18" s="14"/>
      <c r="D18" s="14"/>
      <c r="E18" s="15"/>
      <c r="F18" s="14"/>
      <c r="G18" s="14"/>
      <c r="H18" s="15"/>
      <c r="I18" s="14"/>
      <c r="J18" s="14"/>
      <c r="K18" s="14"/>
      <c r="L18" s="15"/>
      <c r="M18" s="14"/>
      <c r="N18" s="14"/>
      <c r="O18" s="14"/>
      <c r="P18" s="15"/>
      <c r="Q18" s="14"/>
      <c r="R18" s="14"/>
      <c r="S18" s="14"/>
      <c r="T18" s="14"/>
      <c r="U18" s="14"/>
      <c r="V18" s="14"/>
      <c r="W18" s="14"/>
      <c r="X18" s="14"/>
      <c r="Y18" s="15"/>
      <c r="Z18" s="14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</row>
    <row r="19" spans="1:106" s="17" customFormat="1" x14ac:dyDescent="0.25">
      <c r="A19" s="14"/>
      <c r="B19" s="14"/>
      <c r="C19" s="14"/>
      <c r="D19" s="14"/>
      <c r="E19" s="15"/>
      <c r="F19" s="14"/>
      <c r="G19" s="14"/>
      <c r="H19" s="15"/>
      <c r="I19" s="14"/>
      <c r="J19" s="14"/>
      <c r="K19" s="14"/>
      <c r="L19" s="15"/>
      <c r="M19" s="14"/>
      <c r="N19" s="14"/>
      <c r="O19" s="14"/>
      <c r="P19" s="15"/>
      <c r="Q19" s="14"/>
      <c r="R19" s="14"/>
      <c r="S19" s="14"/>
      <c r="T19" s="14"/>
      <c r="U19" s="14"/>
      <c r="V19" s="14"/>
      <c r="W19" s="14"/>
      <c r="X19" s="14"/>
      <c r="Y19" s="15"/>
      <c r="Z19" s="14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</row>
    <row r="20" spans="1:106" s="17" customFormat="1" x14ac:dyDescent="0.25">
      <c r="A20" s="14"/>
      <c r="B20" s="14"/>
      <c r="C20" s="14"/>
      <c r="D20" s="14"/>
      <c r="E20" s="15"/>
      <c r="F20" s="14"/>
      <c r="G20" s="14"/>
      <c r="H20" s="15"/>
      <c r="I20" s="14"/>
      <c r="J20" s="14"/>
      <c r="K20" s="14"/>
      <c r="L20" s="15"/>
      <c r="M20" s="14"/>
      <c r="N20" s="14"/>
      <c r="O20" s="14"/>
      <c r="P20" s="15"/>
      <c r="Q20" s="14"/>
      <c r="R20" s="14"/>
      <c r="S20" s="14"/>
      <c r="T20" s="14"/>
      <c r="U20" s="14"/>
      <c r="V20" s="14"/>
      <c r="W20" s="14"/>
      <c r="X20" s="14"/>
      <c r="Y20" s="15"/>
      <c r="Z20" s="14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</row>
    <row r="21" spans="1:106" s="21" customFormat="1" x14ac:dyDescent="0.25">
      <c r="A21" s="18"/>
      <c r="B21" s="18"/>
      <c r="C21" s="18"/>
      <c r="D21" s="18"/>
      <c r="E21" s="19"/>
      <c r="F21" s="18"/>
      <c r="G21" s="18"/>
      <c r="H21" s="18"/>
      <c r="I21" s="18"/>
      <c r="J21" s="18"/>
      <c r="K21" s="18"/>
      <c r="L21" s="19"/>
      <c r="M21" s="18"/>
      <c r="N21" s="18"/>
      <c r="O21" s="18"/>
      <c r="P21" s="19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</row>
    <row r="22" spans="1:106" x14ac:dyDescent="0.25">
      <c r="A22" s="9"/>
      <c r="B22" s="9"/>
      <c r="C22" s="9"/>
      <c r="D22" s="9"/>
      <c r="E22" s="8"/>
      <c r="F22" s="9"/>
      <c r="G22" s="9"/>
      <c r="H22" s="9"/>
      <c r="I22" s="9"/>
      <c r="J22" s="9"/>
      <c r="K22" s="9"/>
      <c r="L22" s="8"/>
      <c r="M22" s="9"/>
      <c r="N22" s="9"/>
      <c r="O22" s="9"/>
      <c r="P22" s="8"/>
      <c r="Q22" s="9"/>
      <c r="R22" s="9"/>
      <c r="S22" s="9"/>
      <c r="T22" s="9"/>
      <c r="U22" s="9"/>
      <c r="V22" s="9"/>
      <c r="W22" s="9"/>
      <c r="X22" s="9"/>
      <c r="Y22" s="9"/>
      <c r="Z22" s="9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x14ac:dyDescent="0.25">
      <c r="A23" s="9"/>
      <c r="B23" s="9"/>
      <c r="C23" s="9"/>
      <c r="D23" s="9"/>
      <c r="E23" s="8"/>
      <c r="F23" s="9"/>
      <c r="G23" s="9"/>
      <c r="H23" s="9"/>
      <c r="I23" s="9"/>
      <c r="J23" s="9"/>
      <c r="K23" s="9"/>
      <c r="L23" s="8"/>
      <c r="M23" s="9"/>
      <c r="N23" s="9"/>
      <c r="O23" s="9"/>
      <c r="P23" s="8"/>
      <c r="Q23" s="9"/>
      <c r="R23" s="9"/>
      <c r="S23" s="9"/>
      <c r="T23" s="9"/>
      <c r="U23" s="9"/>
      <c r="V23" s="9"/>
      <c r="W23" s="9"/>
      <c r="X23" s="9"/>
      <c r="Y23" s="9"/>
      <c r="Z23" s="9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x14ac:dyDescent="0.25">
      <c r="A24" s="9"/>
      <c r="B24" s="9"/>
      <c r="C24" s="9"/>
      <c r="D24" s="9"/>
      <c r="E24" s="8"/>
      <c r="F24" s="9"/>
      <c r="G24" s="9"/>
      <c r="H24" s="9"/>
      <c r="I24" s="9"/>
      <c r="J24" s="9"/>
      <c r="K24" s="9"/>
      <c r="L24" s="8"/>
      <c r="M24" s="9"/>
      <c r="N24" s="9"/>
      <c r="O24" s="9"/>
      <c r="P24" s="8"/>
      <c r="Q24" s="9"/>
      <c r="R24" s="9"/>
      <c r="S24" s="9"/>
      <c r="T24" s="9"/>
      <c r="U24" s="9"/>
      <c r="V24" s="9"/>
      <c r="W24" s="9"/>
      <c r="X24" s="9"/>
      <c r="Y24" s="9"/>
      <c r="Z24" s="9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x14ac:dyDescent="0.25">
      <c r="A25" s="9"/>
      <c r="B25" s="9"/>
      <c r="C25" s="9"/>
      <c r="D25" s="9"/>
      <c r="E25" s="8"/>
      <c r="F25" s="9"/>
      <c r="G25" s="9"/>
      <c r="H25" s="9"/>
      <c r="I25" s="9"/>
      <c r="J25" s="9"/>
      <c r="K25" s="9"/>
      <c r="L25" s="8"/>
      <c r="M25" s="9"/>
      <c r="N25" s="9"/>
      <c r="O25" s="9"/>
      <c r="P25" s="8"/>
      <c r="Q25" s="9"/>
      <c r="R25" s="9"/>
      <c r="S25" s="9"/>
      <c r="T25" s="9"/>
      <c r="U25" s="9"/>
      <c r="V25" s="9"/>
      <c r="W25" s="9"/>
      <c r="X25" s="9"/>
      <c r="Y25" s="9"/>
      <c r="Z25" s="9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x14ac:dyDescent="0.25">
      <c r="A26" s="9"/>
      <c r="B26" s="9"/>
      <c r="C26" s="9"/>
      <c r="D26" s="9"/>
      <c r="E26" s="8"/>
      <c r="F26" s="9"/>
      <c r="G26" s="9"/>
      <c r="H26" s="9"/>
      <c r="I26" s="9"/>
      <c r="J26" s="9"/>
      <c r="K26" s="9"/>
      <c r="L26" s="8"/>
      <c r="M26" s="9"/>
      <c r="N26" s="9"/>
      <c r="O26" s="9"/>
      <c r="P26" s="8"/>
      <c r="Q26" s="9"/>
      <c r="R26" s="9"/>
      <c r="S26" s="9"/>
      <c r="T26" s="9"/>
      <c r="U26" s="9"/>
      <c r="V26" s="9"/>
      <c r="W26" s="9"/>
      <c r="X26" s="9"/>
      <c r="Y26" s="9"/>
      <c r="Z26" s="9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x14ac:dyDescent="0.25">
      <c r="A27" s="9"/>
      <c r="B27" s="9"/>
      <c r="C27" s="9"/>
      <c r="D27" s="9"/>
      <c r="E27" s="8"/>
      <c r="F27" s="9"/>
      <c r="G27" s="9"/>
      <c r="H27" s="9"/>
      <c r="I27" s="9"/>
      <c r="J27" s="9"/>
      <c r="K27" s="9"/>
      <c r="L27" s="8"/>
      <c r="M27" s="9"/>
      <c r="N27" s="9"/>
      <c r="O27" s="9"/>
      <c r="P27" s="8"/>
      <c r="Q27" s="9"/>
      <c r="R27" s="9"/>
      <c r="S27" s="9"/>
      <c r="T27" s="9"/>
      <c r="U27" s="9"/>
      <c r="V27" s="9"/>
      <c r="W27" s="9"/>
      <c r="X27" s="9"/>
      <c r="Y27" s="9"/>
      <c r="Z27" s="9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x14ac:dyDescent="0.25">
      <c r="A28" s="9"/>
      <c r="B28" s="9"/>
      <c r="C28" s="9"/>
      <c r="D28" s="9"/>
      <c r="E28" s="8"/>
      <c r="F28" s="9"/>
      <c r="G28" s="9"/>
      <c r="H28" s="9"/>
      <c r="I28" s="9"/>
      <c r="J28" s="9"/>
      <c r="K28" s="9"/>
      <c r="L28" s="8"/>
      <c r="M28" s="9"/>
      <c r="N28" s="9"/>
      <c r="O28" s="9"/>
      <c r="P28" s="8"/>
      <c r="Q28" s="9"/>
      <c r="R28" s="9"/>
      <c r="S28" s="9"/>
      <c r="T28" s="9"/>
      <c r="U28" s="9"/>
      <c r="V28" s="9"/>
      <c r="W28" s="9"/>
      <c r="X28" s="9"/>
      <c r="Y28" s="9"/>
      <c r="Z28" s="9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x14ac:dyDescent="0.25">
      <c r="A29" s="9"/>
      <c r="B29" s="9"/>
      <c r="C29" s="9"/>
      <c r="D29" s="9"/>
      <c r="E29" s="8"/>
      <c r="F29" s="9"/>
      <c r="G29" s="9"/>
      <c r="H29" s="9"/>
      <c r="I29" s="9"/>
      <c r="J29" s="9"/>
      <c r="K29" s="9"/>
      <c r="L29" s="8"/>
      <c r="M29" s="9"/>
      <c r="N29" s="9"/>
      <c r="O29" s="9"/>
      <c r="P29" s="8"/>
      <c r="Q29" s="9"/>
      <c r="R29" s="9"/>
      <c r="S29" s="9"/>
      <c r="T29" s="9"/>
      <c r="U29" s="9"/>
      <c r="V29" s="9"/>
      <c r="W29" s="9"/>
      <c r="X29" s="9"/>
      <c r="Y29" s="9"/>
      <c r="Z29" s="9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25">
      <c r="A30" s="9"/>
      <c r="B30" s="9"/>
      <c r="C30" s="9"/>
      <c r="D30" s="9"/>
      <c r="E30" s="8"/>
      <c r="F30" s="9"/>
      <c r="G30" s="9"/>
      <c r="H30" s="9"/>
      <c r="I30" s="9"/>
      <c r="J30" s="9"/>
      <c r="K30" s="9"/>
      <c r="L30" s="8"/>
      <c r="M30" s="8"/>
      <c r="N30" s="9"/>
      <c r="O30" s="9"/>
      <c r="P30" s="8"/>
      <c r="Q30" s="8"/>
      <c r="R30" s="9"/>
      <c r="S30" s="8"/>
      <c r="T30" s="9"/>
      <c r="U30" s="8"/>
      <c r="V30" s="9"/>
      <c r="W30" s="9"/>
      <c r="X30" s="9"/>
      <c r="Y30" s="8"/>
      <c r="Z30" s="9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9"/>
      <c r="B31" s="9"/>
      <c r="C31" s="9"/>
      <c r="D31" s="9"/>
      <c r="E31" s="8"/>
      <c r="F31" s="9"/>
      <c r="G31" s="9"/>
      <c r="H31" s="9"/>
      <c r="I31" s="9"/>
      <c r="J31" s="9"/>
      <c r="K31" s="9"/>
      <c r="L31" s="8"/>
      <c r="M31" s="8"/>
      <c r="N31" s="9"/>
      <c r="O31" s="9"/>
      <c r="P31" s="8"/>
      <c r="Q31" s="8"/>
      <c r="R31" s="9"/>
      <c r="S31" s="8"/>
      <c r="T31" s="9"/>
      <c r="U31" s="8"/>
      <c r="V31" s="9"/>
      <c r="W31" s="9"/>
      <c r="X31" s="9"/>
      <c r="Y31" s="8"/>
      <c r="Z31" s="9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9"/>
      <c r="B32" s="9"/>
      <c r="C32" s="9"/>
      <c r="D32" s="9"/>
      <c r="E32" s="8"/>
      <c r="F32" s="9"/>
      <c r="G32" s="9"/>
      <c r="H32" s="9"/>
      <c r="I32" s="9"/>
      <c r="J32" s="9"/>
      <c r="K32" s="9"/>
      <c r="L32" s="8"/>
      <c r="M32" s="8"/>
      <c r="N32" s="9"/>
      <c r="O32" s="9"/>
      <c r="P32" s="8"/>
      <c r="Q32" s="8"/>
      <c r="R32" s="9"/>
      <c r="S32" s="8"/>
      <c r="T32" s="9"/>
      <c r="U32" s="8"/>
      <c r="V32" s="9"/>
      <c r="W32" s="9"/>
      <c r="X32" s="9"/>
      <c r="Y32" s="8"/>
      <c r="Z32" s="9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9"/>
      <c r="B33" s="9"/>
      <c r="C33" s="9"/>
      <c r="D33" s="9"/>
      <c r="E33" s="8"/>
      <c r="F33" s="9"/>
      <c r="G33" s="9"/>
      <c r="H33" s="9"/>
      <c r="I33" s="9"/>
      <c r="J33" s="9"/>
      <c r="K33" s="9"/>
      <c r="L33" s="8"/>
      <c r="M33" s="8"/>
      <c r="N33" s="9"/>
      <c r="O33" s="9"/>
      <c r="P33" s="8"/>
      <c r="Q33" s="8"/>
      <c r="R33" s="9"/>
      <c r="S33" s="8"/>
      <c r="T33" s="9"/>
      <c r="U33" s="8"/>
      <c r="V33" s="9"/>
      <c r="W33" s="9"/>
      <c r="X33" s="9"/>
      <c r="Y33" s="8"/>
      <c r="Z33" s="9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9"/>
      <c r="B34" s="9"/>
      <c r="C34" s="9"/>
      <c r="D34" s="9"/>
      <c r="E34" s="8"/>
      <c r="F34" s="9"/>
      <c r="G34" s="9"/>
      <c r="H34" s="9"/>
      <c r="I34" s="9"/>
      <c r="J34" s="9"/>
      <c r="K34" s="9"/>
      <c r="L34" s="8"/>
      <c r="M34" s="8"/>
      <c r="N34" s="9"/>
      <c r="O34" s="9"/>
      <c r="P34" s="8"/>
      <c r="Q34" s="8"/>
      <c r="R34" s="9"/>
      <c r="S34" s="8"/>
      <c r="T34" s="9"/>
      <c r="U34" s="8"/>
      <c r="V34" s="9"/>
      <c r="W34" s="9"/>
      <c r="X34" s="9"/>
      <c r="Y34" s="8"/>
      <c r="Z34" s="9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9"/>
      <c r="B35" s="9"/>
      <c r="C35" s="9"/>
      <c r="D35" s="9"/>
      <c r="E35" s="8"/>
      <c r="F35" s="9"/>
      <c r="G35" s="9"/>
      <c r="H35" s="9"/>
      <c r="I35" s="9"/>
      <c r="J35" s="9"/>
      <c r="K35" s="9"/>
      <c r="L35" s="8"/>
      <c r="M35" s="8"/>
      <c r="N35" s="9"/>
      <c r="O35" s="9"/>
      <c r="P35" s="8"/>
      <c r="Q35" s="8"/>
      <c r="R35" s="9"/>
      <c r="S35" s="8"/>
      <c r="T35" s="9"/>
      <c r="U35" s="8"/>
      <c r="V35" s="9"/>
      <c r="W35" s="9"/>
      <c r="X35" s="9"/>
      <c r="Y35" s="8"/>
      <c r="Z35" s="9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9"/>
      <c r="B36" s="9"/>
      <c r="C36" s="9"/>
      <c r="D36" s="9"/>
      <c r="E36" s="8"/>
      <c r="F36" s="9"/>
      <c r="G36" s="9"/>
      <c r="H36" s="9"/>
      <c r="I36" s="9"/>
      <c r="J36" s="9"/>
      <c r="K36" s="9"/>
      <c r="L36" s="8"/>
      <c r="M36" s="8"/>
      <c r="N36" s="9"/>
      <c r="O36" s="9"/>
      <c r="P36" s="8"/>
      <c r="Q36" s="8"/>
      <c r="R36" s="9"/>
      <c r="S36" s="8"/>
      <c r="T36" s="1"/>
      <c r="U36" s="8"/>
      <c r="V36" s="9"/>
      <c r="W36" s="9"/>
      <c r="X36" s="9"/>
      <c r="Y36" s="8"/>
      <c r="Z36" s="9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</sheetData>
  <autoFilter ref="A1:Z3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D4" sqref="D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24" t="s">
        <v>6</v>
      </c>
      <c r="C2" s="24"/>
      <c r="D2" s="24"/>
      <c r="E2" s="24"/>
      <c r="F2" s="24"/>
      <c r="G2" s="24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10">
        <f>AVERAGE('Исходные данные (итог. анкета)'!E:E)</f>
        <v>8.5</v>
      </c>
      <c r="C4" s="10">
        <f>AVERAGE('Исходные данные (итог. анкета)'!L2:L36)</f>
        <v>7.583333333333333</v>
      </c>
      <c r="D4" s="10">
        <f>AVERAGE('Исходные данные (итог. анкета)'!P2:P36)</f>
        <v>9.3333333333333339</v>
      </c>
      <c r="E4" s="7">
        <f>COUNTIF('Исходные данные (итог. анкета)'!U2:U36,"нет")/COUNTA('Исходные данные (итог. анкета)'!U2:U498)</f>
        <v>0.58333333333333337</v>
      </c>
      <c r="F4" s="10">
        <f>AVERAGE('Исходные данные (итог. анкета)'!Y2:Y20)</f>
        <v>10</v>
      </c>
      <c r="G4" s="4">
        <f>AVERAGE(B4:D4,F4)</f>
        <v>8.8541666666666661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2026-07-01T09:26:57Z</dcterms:modified>
</cp:coreProperties>
</file>