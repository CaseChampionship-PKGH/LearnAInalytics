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B4" i="2"/>
  <c r="E38" i="1"/>
  <c r="F4" i="2"/>
  <c r="D4" i="2"/>
  <c r="E4" i="2"/>
  <c r="G4" i="2" l="1"/>
</calcChain>
</file>

<file path=xl/sharedStrings.xml><?xml version="1.0" encoding="utf-8"?>
<sst xmlns="http://schemas.openxmlformats.org/spreadsheetml/2006/main" count="413" uniqueCount="150">
  <si>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</si>
  <si>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</si>
  <si>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</si>
  <si>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</si>
  <si>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</si>
  <si>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</si>
  <si>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</si>
  <si>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</si>
  <si>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</si>
  <si>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</si>
  <si>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</si>
  <si>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</si>
  <si>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</si>
  <si>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</si>
  <si>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</si>
  <si>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</si>
  <si>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</si>
  <si>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</si>
  <si>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</si>
  <si>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</si>
  <si>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</si>
  <si>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</si>
  <si>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</si>
  <si>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</si>
  <si>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</si>
  <si>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</si>
  <si>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</si>
  <si>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</si>
  <si>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</si>
  <si>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</si>
  <si>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</si>
  <si>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</si>
  <si>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</si>
  <si>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</si>
  <si>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Деятельность НКО т.к сотрудничаем</t>
  </si>
  <si>
    <t>деятельность НКО</t>
  </si>
  <si>
    <t>да</t>
  </si>
  <si>
    <t>-</t>
  </si>
  <si>
    <t>нет</t>
  </si>
  <si>
    <t>очное обучение в аудиториях Корпоративного университета</t>
  </si>
  <si>
    <t>для общего развития</t>
  </si>
  <si>
    <t>развитие волонтерской деятельности для подростков</t>
  </si>
  <si>
    <t>организация волонтерской деятельности в сфере благоустройства</t>
  </si>
  <si>
    <t>информационная война, вербовка подростков</t>
  </si>
  <si>
    <t>ничего</t>
  </si>
  <si>
    <t>как всегда на высшем уровне организованы занятия</t>
  </si>
  <si>
    <t>Обновить знания</t>
  </si>
  <si>
    <t>Меры поддержки НКО, волонтеров.</t>
  </si>
  <si>
    <t>Работа на платформе Добро.рф
Мотивация волонтеров</t>
  </si>
  <si>
    <t>Исключать темы не нужно, всё было полезно.</t>
  </si>
  <si>
    <t>Выгорание волонтеров
Работа волонтеров с участниками СВО</t>
  </si>
  <si>
    <t>Нет, ничего не хотелось бы изменять</t>
  </si>
  <si>
    <t>смешанное обучение: частично очно, частично дистанционно</t>
  </si>
  <si>
    <t>Всё было хорошо. Куратор была всегда на связи и помогала.</t>
  </si>
  <si>
    <t>Я работаю в отделе молодежной политики и данное направление напрямую связано с моей профессиональной деятельностью. Я привлекаю добровольцев к различным мероприятиям.</t>
  </si>
  <si>
    <t>Как привлекать добровольцев, как их организовывать, каким образом заинтересовать.</t>
  </si>
  <si>
    <t>Вся информация была полезна, ее можно применить в работе с добровольцами.</t>
  </si>
  <si>
    <t>Всё было полезно</t>
  </si>
  <si>
    <t>Выгорание- как не выгорать добровольцам.</t>
  </si>
  <si>
    <t>Всё было эффективно и комфортно.</t>
  </si>
  <si>
    <t>Меры финансовой поддержки НКО, волонтерство</t>
  </si>
  <si>
    <t>Работа на платформе Добро.РФ
Меры мотивации волонтеров</t>
  </si>
  <si>
    <t>Таких нет</t>
  </si>
  <si>
    <t>Эмоциональное выгорание волонтеров
Меры поддержки участников СВО и членов их семей</t>
  </si>
  <si>
    <t>Ничего</t>
  </si>
  <si>
    <t>Все понравилось, грамотные специалисты, интересные темы</t>
  </si>
  <si>
    <t>интересовало больше для подростков и чем я сама могу быть полезна</t>
  </si>
  <si>
    <t>помощь при организации в сфере благоустройства</t>
  </si>
  <si>
    <t>.</t>
  </si>
  <si>
    <t>вербовка подростков</t>
  </si>
  <si>
    <t>все на высоте как всегда!</t>
  </si>
  <si>
    <t>о видах и направления добровольческой деятельности</t>
  </si>
  <si>
    <t>сведения о том чем занимаются добровольческие организации</t>
  </si>
  <si>
    <t>блок о способах получения грантов (конкретные перечни требований), они актуальны только тем, кто занимается этой деятельностью профессионально</t>
  </si>
  <si>
    <t>программа достаточно наполнена</t>
  </si>
  <si>
    <t>в данном образовательном блоке ничего</t>
  </si>
  <si>
    <t>меньше статистических отчетов</t>
  </si>
  <si>
    <t>все понятно, обратная реакция своевременна</t>
  </si>
  <si>
    <t>руководитель</t>
  </si>
  <si>
    <t>Для получения новой информации по данной теме и использования ее в жизни и работе.</t>
  </si>
  <si>
    <t>Организационные вопросы о работе с волонтерами, а также информация о волонтерском движении  и организациях.</t>
  </si>
  <si>
    <t>Сопровождение работы волонтеров.</t>
  </si>
  <si>
    <t>отсутствуют</t>
  </si>
  <si>
    <t>о работе волонтеров в теме СВО</t>
  </si>
  <si>
    <t>увеличение часов программы</t>
  </si>
  <si>
    <t>взаимодействие было эффективным</t>
  </si>
  <si>
    <t>Получение новых знаний в области организации деятельности волонтеров в России</t>
  </si>
  <si>
    <t>структура организации волонтерской деятельности, история возникновения волонтерского движения, платформа</t>
  </si>
  <si>
    <t>пользоваться платформой ДоброРФ</t>
  </si>
  <si>
    <t>затрудняюсь ответить</t>
  </si>
  <si>
    <t>организация работы волонтеров с участниками СВО, проходящими лечение и реабилитацию в клиниках Санкт-Петербурге</t>
  </si>
  <si>
    <t>добавить прикладных занятий, например заполнение форм на гранты</t>
  </si>
  <si>
    <t>затрудняюсь огтветить</t>
  </si>
  <si>
    <t>все предельно понятно, информация и напоминания приходят вовремя</t>
  </si>
  <si>
    <t>Обучение было необходимо для общего понимания понятия волонтерства и добровольчества и применения этих знаний в рабочей деятельности</t>
  </si>
  <si>
    <t>Работа НКО, их трудности и возможности, работа платформы добро.рф
Узнала много нового в этом направлении деятельности</t>
  </si>
  <si>
    <t>провести разъяснительные беседы с сотрудниками подведомственных организаций, работающих с благотворительными фондами и некоммерческими организациями</t>
  </si>
  <si>
    <t>курс полный, убирать ничего не стоит</t>
  </si>
  <si>
    <t>у спикера Дарьи хотелось бы дополнить и ввести новый курс по тематике "Вербовки, информационной войны, манипуляции сознания"</t>
  </si>
  <si>
    <t>вопросы и практические примеры из жизненных ситуаций спикеров, какие трудности возникают на определенных этапах работы</t>
  </si>
  <si>
    <t>Отличная слаженная работа команды корпоративного университета</t>
  </si>
  <si>
    <t>обеспечивающий специалист</t>
  </si>
  <si>
    <t>Для использования полученных знаний в работе</t>
  </si>
  <si>
    <t>социальная направленность волонтерства</t>
  </si>
  <si>
    <t>Узнала фонды и организации, предоставляющие помощь пожилым людям и инвалидам</t>
  </si>
  <si>
    <t>Являюсь волонтером. Хотела получить новые знания по данной теме</t>
  </si>
  <si>
    <t>Платформа Добро.РФ,</t>
  </si>
  <si>
    <t>Работа с волонтерами, привлечение к волонтерской деятельности</t>
  </si>
  <si>
    <t>Информационные войны, кибертерроризм</t>
  </si>
  <si>
    <t>Больше примеров из конкретных волонтерских программ</t>
  </si>
  <si>
    <t>Являюсь волонтером.</t>
  </si>
  <si>
    <t>1)Узнала про проекты 
2)услышала про платформу "Добро.РФ", точнее , узнала как ею пользоваться
3)много новой полезной информации</t>
  </si>
  <si>
    <t>совершенствовать навыки волонтера, узнала в каких фондах можно принять участие с целью применения своих навыков, умений и знаний</t>
  </si>
  <si>
    <t>никакие. наоборот, расширить курс</t>
  </si>
  <si>
    <t>кибертерроризм, система манипуляции сознания, кибервойны</t>
  </si>
  <si>
    <t>включить практические часы с Дарьей, для практической отработки полученного материала.</t>
  </si>
  <si>
    <t>побольше практики</t>
  </si>
  <si>
    <t>практические часы</t>
  </si>
  <si>
    <t>для использования знаний в работе</t>
  </si>
  <si>
    <t>волонтерство</t>
  </si>
  <si>
    <t>все содержательно</t>
  </si>
  <si>
    <t>Актуальная тема для служебной деятельности и для жизни</t>
  </si>
  <si>
    <t>НКО 
платформа Добро.рф</t>
  </si>
  <si>
    <t>теоретические основы для взаимодействия с субъектами системы профилактики</t>
  </si>
  <si>
    <t>все полезно</t>
  </si>
  <si>
    <t>рекомендации успешных НКО имеющих хорошие результаты работы в СПб</t>
  </si>
  <si>
    <t>все хорошо</t>
  </si>
  <si>
    <t>рада, что выбрала этот курс</t>
  </si>
  <si>
    <t>Одно из направлений работы. Расширить область знаний</t>
  </si>
  <si>
    <t>Виды поддержки добровольчества. Нематериальная поддержка волонтеров</t>
  </si>
  <si>
    <t>Все</t>
  </si>
  <si>
    <t>Направление работы с участниками СВО</t>
  </si>
  <si>
    <t>Возможно добавить командную игру</t>
  </si>
  <si>
    <t>Спасибо! Как всегда на высоте</t>
  </si>
  <si>
    <t>все</t>
  </si>
  <si>
    <t>не сталкиваюсь в работе с этими вопросами</t>
  </si>
  <si>
    <t>было эффективным</t>
  </si>
  <si>
    <t>для получения новых знания, планирую участвовать в волонтером</t>
  </si>
  <si>
    <t>участие и поддержка  государства в развитии волонтерства в стране.</t>
  </si>
  <si>
    <t>поделиться знаниями с чего начинать претенденту на волонтера</t>
  </si>
  <si>
    <t>нет таких</t>
  </si>
  <si>
    <t>не знаю</t>
  </si>
  <si>
    <t>ничего не надо менять</t>
  </si>
  <si>
    <t>примеры и обратная связь</t>
  </si>
  <si>
    <t>Выбрала данную программу для получения информации о волонтерах для дальнейшего участия в мероприятиях своих родственников, а также для использования в работе с подведомственными организациями (ЦСРИДИ, КЦСОН)</t>
  </si>
  <si>
    <t>Актуальны вопросы относительно направлений НКО, разнообразия деятельности.</t>
  </si>
  <si>
    <t>Информацию о работе на информационных платформах</t>
  </si>
  <si>
    <t>вся информация была полезной</t>
  </si>
  <si>
    <t>Я думаю, что можно добавить темы про меры поддержки участников СВО.</t>
  </si>
  <si>
    <t>Все понравилось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</si>
</sst>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0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9"/>
      <c r="C2" s="9" t="s">
        <v>33</v>
      </c>
      <c r="D2" s="10" t="s">
        <v>40</v>
      </c>
      <c r="E2" s="4">
        <v>8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37</v>
      </c>
      <c r="K2" s="9" t="s">
        <v>37</v>
      </c>
      <c r="L2" s="4">
        <v>10</v>
      </c>
      <c r="M2" s="9" t="s">
        <v>36</v>
      </c>
      <c r="N2" s="9" t="s">
        <v>37</v>
      </c>
      <c r="O2" s="9" t="s">
        <v>37</v>
      </c>
      <c r="P2" s="4">
        <v>10</v>
      </c>
      <c r="Q2" s="9" t="s">
        <v>36</v>
      </c>
      <c r="R2" s="9" t="s">
        <v>37</v>
      </c>
      <c r="S2" s="9" t="s">
        <v>36</v>
      </c>
      <c r="T2" s="9" t="s">
        <v>37</v>
      </c>
      <c r="U2" s="9" t="s">
        <v>38</v>
      </c>
      <c r="V2" s="9" t="s">
        <v>37</v>
      </c>
      <c r="W2" s="9" t="s">
        <v>37</v>
      </c>
      <c r="X2" s="9" t="s">
        <v>39</v>
      </c>
      <c r="Y2" s="4">
        <v>10</v>
      </c>
      <c r="Z2" s="9" t="s">
        <v>37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9"/>
      <c r="B3" s="9"/>
      <c r="C3" s="9" t="s">
        <v>33</v>
      </c>
      <c r="D3" s="10" t="s">
        <v>40</v>
      </c>
      <c r="E3" s="4">
        <v>7</v>
      </c>
      <c r="F3" s="9" t="s">
        <v>41</v>
      </c>
      <c r="G3" s="9" t="s">
        <v>42</v>
      </c>
      <c r="H3" s="9" t="s">
        <v>36</v>
      </c>
      <c r="I3" s="9" t="s">
        <v>37</v>
      </c>
      <c r="J3" s="9" t="s">
        <v>37</v>
      </c>
      <c r="K3" s="9" t="s">
        <v>43</v>
      </c>
      <c r="L3" s="4">
        <v>10</v>
      </c>
      <c r="M3" s="9" t="s">
        <v>36</v>
      </c>
      <c r="N3" s="9" t="s">
        <v>38</v>
      </c>
      <c r="O3" s="9" t="s">
        <v>44</v>
      </c>
      <c r="P3" s="4">
        <v>10</v>
      </c>
      <c r="Q3" s="9" t="s">
        <v>36</v>
      </c>
      <c r="R3" s="9" t="s">
        <v>37</v>
      </c>
      <c r="S3" s="9" t="s">
        <v>36</v>
      </c>
      <c r="T3" s="9" t="s">
        <v>37</v>
      </c>
      <c r="U3" s="9" t="s">
        <v>38</v>
      </c>
      <c r="V3" s="9" t="s">
        <v>37</v>
      </c>
      <c r="W3" s="9" t="s">
        <v>37</v>
      </c>
      <c r="X3" s="9" t="s">
        <v>39</v>
      </c>
      <c r="Y3" s="4">
        <v>10</v>
      </c>
      <c r="Z3" s="9" t="s">
        <v>45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x14ac:dyDescent="0.25">
      <c r="A4" s="9"/>
      <c r="B4" s="9"/>
      <c r="C4" s="9" t="s">
        <v>33</v>
      </c>
      <c r="D4" s="10" t="s">
        <v>46</v>
      </c>
      <c r="E4" s="4">
        <v>10</v>
      </c>
      <c r="F4" s="9" t="s">
        <v>47</v>
      </c>
      <c r="G4" s="9" t="s">
        <v>48</v>
      </c>
      <c r="H4" s="9" t="s">
        <v>36</v>
      </c>
      <c r="I4" s="9" t="s">
        <v>37</v>
      </c>
      <c r="J4" s="9" t="s">
        <v>49</v>
      </c>
      <c r="K4" s="9" t="s">
        <v>50</v>
      </c>
      <c r="L4" s="4">
        <v>10</v>
      </c>
      <c r="M4" s="9" t="s">
        <v>36</v>
      </c>
      <c r="N4" s="9" t="s">
        <v>37</v>
      </c>
      <c r="O4" s="9" t="s">
        <v>51</v>
      </c>
      <c r="P4" s="4">
        <v>10</v>
      </c>
      <c r="Q4" s="9" t="s">
        <v>36</v>
      </c>
      <c r="R4" s="9" t="s">
        <v>37</v>
      </c>
      <c r="S4" s="9" t="s">
        <v>36</v>
      </c>
      <c r="T4" s="9" t="s">
        <v>37</v>
      </c>
      <c r="U4" s="9" t="s">
        <v>38</v>
      </c>
      <c r="V4" s="9" t="s">
        <v>37</v>
      </c>
      <c r="W4" s="9" t="s">
        <v>37</v>
      </c>
      <c r="X4" s="9" t="s">
        <v>52</v>
      </c>
      <c r="Y4" s="4">
        <v>10</v>
      </c>
      <c r="Z4" s="9" t="s">
        <v>53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80" x14ac:dyDescent="0.25">
      <c r="A5" s="9"/>
      <c r="B5" s="9"/>
      <c r="C5" s="9" t="s">
        <v>33</v>
      </c>
      <c r="D5" s="10" t="s">
        <v>54</v>
      </c>
      <c r="E5" s="4">
        <v>10</v>
      </c>
      <c r="F5" s="9" t="s">
        <v>55</v>
      </c>
      <c r="G5" s="9" t="s">
        <v>56</v>
      </c>
      <c r="H5" s="9" t="s">
        <v>36</v>
      </c>
      <c r="I5" s="9" t="s">
        <v>37</v>
      </c>
      <c r="J5" s="9" t="s">
        <v>57</v>
      </c>
      <c r="K5" s="9" t="s">
        <v>58</v>
      </c>
      <c r="L5" s="4">
        <v>10</v>
      </c>
      <c r="M5" s="9" t="s">
        <v>36</v>
      </c>
      <c r="N5" s="9" t="s">
        <v>37</v>
      </c>
      <c r="O5" s="9" t="s">
        <v>44</v>
      </c>
      <c r="P5" s="4">
        <v>10</v>
      </c>
      <c r="Q5" s="9" t="s">
        <v>36</v>
      </c>
      <c r="R5" s="9" t="s">
        <v>37</v>
      </c>
      <c r="S5" s="9" t="s">
        <v>36</v>
      </c>
      <c r="T5" s="9" t="s">
        <v>37</v>
      </c>
      <c r="U5" s="9" t="s">
        <v>38</v>
      </c>
      <c r="V5" s="9" t="s">
        <v>37</v>
      </c>
      <c r="W5" s="9" t="s">
        <v>37</v>
      </c>
      <c r="X5" s="9" t="s">
        <v>39</v>
      </c>
      <c r="Y5" s="4">
        <v>10</v>
      </c>
      <c r="Z5" s="9" t="s">
        <v>59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75" x14ac:dyDescent="0.25">
      <c r="A6" s="9"/>
      <c r="B6" s="9"/>
      <c r="C6" s="9" t="s">
        <v>33</v>
      </c>
      <c r="D6" s="10" t="s">
        <v>46</v>
      </c>
      <c r="E6" s="4">
        <v>10</v>
      </c>
      <c r="F6" s="9" t="s">
        <v>60</v>
      </c>
      <c r="G6" s="9" t="s">
        <v>61</v>
      </c>
      <c r="H6" s="9" t="s">
        <v>36</v>
      </c>
      <c r="I6" s="9" t="s">
        <v>37</v>
      </c>
      <c r="J6" s="9" t="s">
        <v>62</v>
      </c>
      <c r="K6" s="9" t="s">
        <v>63</v>
      </c>
      <c r="L6" s="4">
        <v>10</v>
      </c>
      <c r="M6" s="9" t="s">
        <v>36</v>
      </c>
      <c r="N6" s="9" t="s">
        <v>37</v>
      </c>
      <c r="O6" s="9" t="s">
        <v>64</v>
      </c>
      <c r="P6" s="4">
        <v>10</v>
      </c>
      <c r="Q6" s="9" t="s">
        <v>36</v>
      </c>
      <c r="R6" s="9" t="s">
        <v>37</v>
      </c>
      <c r="S6" s="9" t="s">
        <v>36</v>
      </c>
      <c r="T6" s="9" t="s">
        <v>37</v>
      </c>
      <c r="U6" s="9" t="s">
        <v>38</v>
      </c>
      <c r="V6" s="9" t="s">
        <v>37</v>
      </c>
      <c r="W6" s="9" t="s">
        <v>37</v>
      </c>
      <c r="X6" s="9" t="s">
        <v>52</v>
      </c>
      <c r="Y6" s="4">
        <v>10</v>
      </c>
      <c r="Z6" s="9" t="s">
        <v>65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9"/>
      <c r="C7" s="9" t="s">
        <v>33</v>
      </c>
      <c r="D7" s="10" t="s">
        <v>40</v>
      </c>
      <c r="E7" s="4">
        <v>7</v>
      </c>
      <c r="F7" s="9" t="s">
        <v>66</v>
      </c>
      <c r="G7" s="9" t="s">
        <v>67</v>
      </c>
      <c r="H7" s="9" t="s">
        <v>36</v>
      </c>
      <c r="I7" s="9" t="s">
        <v>68</v>
      </c>
      <c r="J7" s="9" t="s">
        <v>68</v>
      </c>
      <c r="K7" s="9" t="s">
        <v>69</v>
      </c>
      <c r="L7" s="4">
        <v>10</v>
      </c>
      <c r="M7" s="9" t="s">
        <v>36</v>
      </c>
      <c r="N7" s="9" t="s">
        <v>68</v>
      </c>
      <c r="O7" s="9" t="s">
        <v>68</v>
      </c>
      <c r="P7" s="4">
        <v>10</v>
      </c>
      <c r="Q7" s="9" t="s">
        <v>36</v>
      </c>
      <c r="R7" s="9" t="s">
        <v>68</v>
      </c>
      <c r="S7" s="9" t="s">
        <v>36</v>
      </c>
      <c r="T7" s="9" t="s">
        <v>68</v>
      </c>
      <c r="U7" s="9" t="s">
        <v>38</v>
      </c>
      <c r="V7" s="9" t="s">
        <v>68</v>
      </c>
      <c r="W7" s="9" t="s">
        <v>68</v>
      </c>
      <c r="X7" s="9" t="s">
        <v>39</v>
      </c>
      <c r="Y7" s="4">
        <v>10</v>
      </c>
      <c r="Z7" s="9" t="s">
        <v>70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20" x14ac:dyDescent="0.25">
      <c r="A8" s="9"/>
      <c r="B8" s="9"/>
      <c r="C8" s="9" t="s">
        <v>33</v>
      </c>
      <c r="D8" s="10" t="s">
        <v>40</v>
      </c>
      <c r="E8" s="4">
        <v>5</v>
      </c>
      <c r="F8" s="9" t="s">
        <v>71</v>
      </c>
      <c r="G8" s="9" t="s">
        <v>72</v>
      </c>
      <c r="H8" s="9" t="s">
        <v>36</v>
      </c>
      <c r="I8" s="9" t="s">
        <v>37</v>
      </c>
      <c r="J8" s="9" t="s">
        <v>73</v>
      </c>
      <c r="K8" s="9" t="s">
        <v>74</v>
      </c>
      <c r="L8" s="4">
        <v>7</v>
      </c>
      <c r="M8" s="9" t="s">
        <v>36</v>
      </c>
      <c r="N8" s="9" t="s">
        <v>37</v>
      </c>
      <c r="O8" s="9" t="s">
        <v>75</v>
      </c>
      <c r="P8" s="4">
        <v>9</v>
      </c>
      <c r="Q8" s="9" t="s">
        <v>36</v>
      </c>
      <c r="R8" s="9" t="s">
        <v>37</v>
      </c>
      <c r="S8" s="9" t="s">
        <v>36</v>
      </c>
      <c r="T8" s="9" t="s">
        <v>37</v>
      </c>
      <c r="U8" s="9" t="s">
        <v>38</v>
      </c>
      <c r="V8" s="9" t="s">
        <v>37</v>
      </c>
      <c r="W8" s="9" t="s">
        <v>76</v>
      </c>
      <c r="X8" s="9" t="s">
        <v>52</v>
      </c>
      <c r="Y8" s="4">
        <v>10</v>
      </c>
      <c r="Z8" s="9" t="s">
        <v>77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9"/>
      <c r="B9" s="9"/>
      <c r="C9" s="9" t="s">
        <v>78</v>
      </c>
      <c r="D9" s="10" t="s">
        <v>79</v>
      </c>
      <c r="E9" s="4">
        <v>10</v>
      </c>
      <c r="F9" s="9" t="s">
        <v>80</v>
      </c>
      <c r="G9" s="9" t="s">
        <v>81</v>
      </c>
      <c r="H9" s="9" t="s">
        <v>36</v>
      </c>
      <c r="I9" s="9" t="s">
        <v>37</v>
      </c>
      <c r="J9" s="9" t="s">
        <v>82</v>
      </c>
      <c r="K9" s="9" t="s">
        <v>83</v>
      </c>
      <c r="L9" s="4">
        <v>5</v>
      </c>
      <c r="M9" s="9" t="s">
        <v>36</v>
      </c>
      <c r="N9" s="9" t="s">
        <v>37</v>
      </c>
      <c r="O9" s="9" t="s">
        <v>37</v>
      </c>
      <c r="P9" s="4">
        <v>10</v>
      </c>
      <c r="Q9" s="9" t="s">
        <v>36</v>
      </c>
      <c r="R9" s="9" t="s">
        <v>37</v>
      </c>
      <c r="S9" s="9" t="s">
        <v>36</v>
      </c>
      <c r="T9" s="9" t="s">
        <v>37</v>
      </c>
      <c r="U9" s="9" t="s">
        <v>38</v>
      </c>
      <c r="V9" s="9" t="s">
        <v>37</v>
      </c>
      <c r="W9" s="9" t="s">
        <v>84</v>
      </c>
      <c r="X9" s="9" t="s">
        <v>52</v>
      </c>
      <c r="Y9" s="4">
        <v>10</v>
      </c>
      <c r="Z9" s="9" t="s">
        <v>85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90" x14ac:dyDescent="0.25">
      <c r="A10" s="9"/>
      <c r="B10" s="9"/>
      <c r="C10" s="9" t="s">
        <v>78</v>
      </c>
      <c r="D10" s="10" t="s">
        <v>86</v>
      </c>
      <c r="E10" s="4">
        <v>10</v>
      </c>
      <c r="F10" s="9" t="s">
        <v>87</v>
      </c>
      <c r="G10" s="9" t="s">
        <v>88</v>
      </c>
      <c r="H10" s="9" t="s">
        <v>36</v>
      </c>
      <c r="I10" s="9" t="s">
        <v>37</v>
      </c>
      <c r="J10" s="9" t="s">
        <v>89</v>
      </c>
      <c r="K10" s="9" t="s">
        <v>90</v>
      </c>
      <c r="L10" s="4">
        <v>9</v>
      </c>
      <c r="M10" s="9" t="s">
        <v>36</v>
      </c>
      <c r="N10" s="9" t="s">
        <v>37</v>
      </c>
      <c r="O10" s="9" t="s">
        <v>91</v>
      </c>
      <c r="P10" s="4">
        <v>10</v>
      </c>
      <c r="Q10" s="9" t="s">
        <v>36</v>
      </c>
      <c r="R10" s="9" t="s">
        <v>37</v>
      </c>
      <c r="S10" s="9" t="s">
        <v>36</v>
      </c>
      <c r="T10" s="9" t="s">
        <v>37</v>
      </c>
      <c r="U10" s="9" t="s">
        <v>36</v>
      </c>
      <c r="V10" s="9" t="s">
        <v>37</v>
      </c>
      <c r="W10" s="9" t="s">
        <v>92</v>
      </c>
      <c r="X10" s="9" t="s">
        <v>39</v>
      </c>
      <c r="Y10" s="4">
        <v>10</v>
      </c>
      <c r="Z10" s="9" t="s">
        <v>93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9"/>
      <c r="B11" s="9"/>
      <c r="C11" s="9" t="s">
        <v>78</v>
      </c>
      <c r="D11" s="10" t="s">
        <v>94</v>
      </c>
      <c r="E11" s="4">
        <v>10</v>
      </c>
      <c r="F11" s="9" t="s">
        <v>95</v>
      </c>
      <c r="G11" s="9" t="s">
        <v>96</v>
      </c>
      <c r="H11" s="9" t="s">
        <v>36</v>
      </c>
      <c r="I11" s="9" t="s">
        <v>37</v>
      </c>
      <c r="J11" s="9" t="s">
        <v>97</v>
      </c>
      <c r="K11" s="9" t="s">
        <v>98</v>
      </c>
      <c r="L11" s="4">
        <v>10</v>
      </c>
      <c r="M11" s="9" t="s">
        <v>36</v>
      </c>
      <c r="N11" s="9" t="s">
        <v>37</v>
      </c>
      <c r="O11" s="9" t="s">
        <v>37</v>
      </c>
      <c r="P11" s="4">
        <v>10</v>
      </c>
      <c r="Q11" s="9" t="s">
        <v>36</v>
      </c>
      <c r="R11" s="9" t="s">
        <v>37</v>
      </c>
      <c r="S11" s="9" t="s">
        <v>36</v>
      </c>
      <c r="T11" s="9" t="s">
        <v>37</v>
      </c>
      <c r="U11" s="9" t="s">
        <v>38</v>
      </c>
      <c r="V11" s="9" t="s">
        <v>37</v>
      </c>
      <c r="W11" s="9" t="s">
        <v>99</v>
      </c>
      <c r="X11" s="9" t="s">
        <v>39</v>
      </c>
      <c r="Y11" s="4">
        <v>10</v>
      </c>
      <c r="Z11" s="9" t="s">
        <v>100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9"/>
      <c r="B12" s="9"/>
      <c r="C12" s="9" t="s">
        <v>101</v>
      </c>
      <c r="D12" s="10" t="s">
        <v>102</v>
      </c>
      <c r="E12" s="4">
        <v>10</v>
      </c>
      <c r="F12" s="9" t="s">
        <v>103</v>
      </c>
      <c r="G12" s="9" t="s">
        <v>104</v>
      </c>
      <c r="H12" s="9" t="s">
        <v>36</v>
      </c>
      <c r="I12" s="9" t="s">
        <v>37</v>
      </c>
      <c r="J12" s="9" t="s">
        <v>37</v>
      </c>
      <c r="K12" s="9" t="s">
        <v>37</v>
      </c>
      <c r="L12" s="4">
        <v>10</v>
      </c>
      <c r="M12" s="9" t="s">
        <v>36</v>
      </c>
      <c r="N12" s="9" t="s">
        <v>37</v>
      </c>
      <c r="O12" s="9" t="s">
        <v>37</v>
      </c>
      <c r="P12" s="4">
        <v>10</v>
      </c>
      <c r="Q12" s="9" t="s">
        <v>36</v>
      </c>
      <c r="R12" s="9" t="s">
        <v>37</v>
      </c>
      <c r="S12" s="9" t="s">
        <v>36</v>
      </c>
      <c r="T12" s="9" t="s">
        <v>37</v>
      </c>
      <c r="U12" s="9" t="s">
        <v>38</v>
      </c>
      <c r="V12" s="9" t="s">
        <v>37</v>
      </c>
      <c r="W12" s="9" t="s">
        <v>37</v>
      </c>
      <c r="X12" s="9" t="s">
        <v>52</v>
      </c>
      <c r="Y12" s="4">
        <v>10</v>
      </c>
      <c r="Z12" s="9" t="s">
        <v>37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9"/>
      <c r="B13" s="9"/>
      <c r="C13" s="9" t="s">
        <v>33</v>
      </c>
      <c r="D13" s="10" t="s">
        <v>105</v>
      </c>
      <c r="E13" s="4">
        <v>10</v>
      </c>
      <c r="F13" s="9" t="s">
        <v>106</v>
      </c>
      <c r="G13" s="9" t="s">
        <v>107</v>
      </c>
      <c r="H13" s="9" t="s">
        <v>36</v>
      </c>
      <c r="I13" s="9" t="s">
        <v>37</v>
      </c>
      <c r="J13" s="9" t="s">
        <v>37</v>
      </c>
      <c r="K13" s="9" t="s">
        <v>108</v>
      </c>
      <c r="L13" s="4">
        <v>8</v>
      </c>
      <c r="M13" s="9" t="s">
        <v>36</v>
      </c>
      <c r="N13" s="9" t="s">
        <v>37</v>
      </c>
      <c r="O13" s="9" t="s">
        <v>37</v>
      </c>
      <c r="P13" s="4">
        <v>10</v>
      </c>
      <c r="Q13" s="9" t="s">
        <v>36</v>
      </c>
      <c r="R13" s="9" t="s">
        <v>37</v>
      </c>
      <c r="S13" s="9" t="s">
        <v>36</v>
      </c>
      <c r="T13" s="9" t="s">
        <v>37</v>
      </c>
      <c r="U13" s="9" t="s">
        <v>38</v>
      </c>
      <c r="V13" s="9" t="s">
        <v>37</v>
      </c>
      <c r="W13" s="9" t="s">
        <v>109</v>
      </c>
      <c r="X13" s="9" t="s">
        <v>52</v>
      </c>
      <c r="Y13" s="4">
        <v>10</v>
      </c>
      <c r="Z13" s="9" t="s">
        <v>37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90" x14ac:dyDescent="0.25">
      <c r="A14" s="9"/>
      <c r="B14" s="9"/>
      <c r="C14" s="9" t="s">
        <v>33</v>
      </c>
      <c r="D14" s="10" t="s">
        <v>110</v>
      </c>
      <c r="E14" s="4">
        <v>9</v>
      </c>
      <c r="F14" s="9" t="s">
        <v>111</v>
      </c>
      <c r="G14" s="9" t="s">
        <v>112</v>
      </c>
      <c r="H14" s="9" t="s">
        <v>36</v>
      </c>
      <c r="I14" s="9" t="s">
        <v>37</v>
      </c>
      <c r="J14" s="9" t="s">
        <v>113</v>
      </c>
      <c r="K14" s="9" t="s">
        <v>114</v>
      </c>
      <c r="L14" s="4">
        <v>6</v>
      </c>
      <c r="M14" s="9" t="s">
        <v>38</v>
      </c>
      <c r="N14" s="9" t="s">
        <v>115</v>
      </c>
      <c r="O14" s="9" t="s">
        <v>68</v>
      </c>
      <c r="P14" s="4">
        <v>10</v>
      </c>
      <c r="Q14" s="9" t="s">
        <v>36</v>
      </c>
      <c r="R14" s="9" t="s">
        <v>37</v>
      </c>
      <c r="S14" s="9" t="s">
        <v>36</v>
      </c>
      <c r="T14" s="9" t="s">
        <v>37</v>
      </c>
      <c r="U14" s="9" t="s">
        <v>38</v>
      </c>
      <c r="V14" s="9" t="s">
        <v>116</v>
      </c>
      <c r="W14" s="9" t="s">
        <v>117</v>
      </c>
      <c r="X14" s="9" t="s">
        <v>39</v>
      </c>
      <c r="Y14" s="4">
        <v>10</v>
      </c>
      <c r="Z14" s="9" t="s">
        <v>37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9"/>
      <c r="B15" s="9"/>
      <c r="C15" s="9" t="s">
        <v>33</v>
      </c>
      <c r="D15" s="10" t="s">
        <v>118</v>
      </c>
      <c r="E15" s="4">
        <v>6</v>
      </c>
      <c r="F15" s="9" t="s">
        <v>119</v>
      </c>
      <c r="G15" s="9" t="s">
        <v>37</v>
      </c>
      <c r="H15" s="9" t="s">
        <v>36</v>
      </c>
      <c r="I15" s="9" t="s">
        <v>37</v>
      </c>
      <c r="J15" s="9" t="s">
        <v>120</v>
      </c>
      <c r="K15" s="9" t="s">
        <v>37</v>
      </c>
      <c r="L15" s="4">
        <v>5</v>
      </c>
      <c r="M15" s="9" t="s">
        <v>36</v>
      </c>
      <c r="N15" s="9" t="s">
        <v>37</v>
      </c>
      <c r="O15" s="9" t="s">
        <v>37</v>
      </c>
      <c r="P15" s="4">
        <v>8</v>
      </c>
      <c r="Q15" s="9" t="s">
        <v>36</v>
      </c>
      <c r="R15" s="9" t="s">
        <v>37</v>
      </c>
      <c r="S15" s="9" t="s">
        <v>36</v>
      </c>
      <c r="T15" s="9" t="s">
        <v>37</v>
      </c>
      <c r="U15" s="9" t="s">
        <v>38</v>
      </c>
      <c r="V15" s="9" t="s">
        <v>37</v>
      </c>
      <c r="W15" s="9" t="s">
        <v>37</v>
      </c>
      <c r="X15" s="9" t="s">
        <v>39</v>
      </c>
      <c r="Y15" s="4">
        <v>9</v>
      </c>
      <c r="Z15" s="9" t="s">
        <v>37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78</v>
      </c>
      <c r="D16" s="10" t="s">
        <v>121</v>
      </c>
      <c r="E16" s="4">
        <v>10</v>
      </c>
      <c r="F16" s="9" t="s">
        <v>122</v>
      </c>
      <c r="G16" s="9" t="s">
        <v>123</v>
      </c>
      <c r="H16" s="9" t="s">
        <v>36</v>
      </c>
      <c r="I16" s="9" t="s">
        <v>37</v>
      </c>
      <c r="J16" s="9" t="s">
        <v>124</v>
      </c>
      <c r="K16" s="9" t="s">
        <v>125</v>
      </c>
      <c r="L16" s="4">
        <v>10</v>
      </c>
      <c r="M16" s="9" t="s">
        <v>36</v>
      </c>
      <c r="N16" s="9" t="s">
        <v>37</v>
      </c>
      <c r="O16" s="9" t="s">
        <v>126</v>
      </c>
      <c r="P16" s="4">
        <v>10</v>
      </c>
      <c r="Q16" s="9" t="s">
        <v>36</v>
      </c>
      <c r="R16" s="9" t="s">
        <v>37</v>
      </c>
      <c r="S16" s="9" t="s">
        <v>36</v>
      </c>
      <c r="T16" s="9" t="s">
        <v>37</v>
      </c>
      <c r="U16" s="9" t="s">
        <v>38</v>
      </c>
      <c r="V16" s="9" t="s">
        <v>37</v>
      </c>
      <c r="W16" s="9" t="s">
        <v>37</v>
      </c>
      <c r="X16" s="9" t="s">
        <v>39</v>
      </c>
      <c r="Y16" s="4">
        <v>10</v>
      </c>
      <c r="Z16" s="9" t="s">
        <v>127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9"/>
      <c r="B17" s="9"/>
      <c r="C17" s="9" t="s">
        <v>33</v>
      </c>
      <c r="D17" s="10" t="s">
        <v>128</v>
      </c>
      <c r="E17" s="4">
        <v>9</v>
      </c>
      <c r="F17" s="9" t="s">
        <v>129</v>
      </c>
      <c r="G17" s="9" t="s">
        <v>130</v>
      </c>
      <c r="H17" s="9" t="s">
        <v>36</v>
      </c>
      <c r="I17" s="9" t="s">
        <v>68</v>
      </c>
      <c r="J17" s="9" t="s">
        <v>68</v>
      </c>
      <c r="K17" s="9" t="s">
        <v>131</v>
      </c>
      <c r="L17" s="4">
        <v>9</v>
      </c>
      <c r="M17" s="4" t="s">
        <v>36</v>
      </c>
      <c r="N17" s="9" t="s">
        <v>68</v>
      </c>
      <c r="O17" s="9" t="s">
        <v>132</v>
      </c>
      <c r="P17" s="4">
        <v>9</v>
      </c>
      <c r="Q17" s="4" t="s">
        <v>36</v>
      </c>
      <c r="R17" s="9" t="s">
        <v>68</v>
      </c>
      <c r="S17" s="4" t="s">
        <v>36</v>
      </c>
      <c r="T17" s="9" t="s">
        <v>68</v>
      </c>
      <c r="U17" s="4" t="s">
        <v>38</v>
      </c>
      <c r="V17" s="9" t="s">
        <v>68</v>
      </c>
      <c r="W17" s="9" t="s">
        <v>68</v>
      </c>
      <c r="X17" s="9" t="s">
        <v>52</v>
      </c>
      <c r="Y17" s="4">
        <v>9</v>
      </c>
      <c r="Z17" s="9" t="s">
        <v>133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9"/>
      <c r="B18" s="9"/>
      <c r="C18" s="9" t="s">
        <v>33</v>
      </c>
      <c r="D18" s="10" t="s">
        <v>40</v>
      </c>
      <c r="E18" s="4">
        <v>10</v>
      </c>
      <c r="F18" s="9" t="s">
        <v>134</v>
      </c>
      <c r="G18" s="9" t="s">
        <v>135</v>
      </c>
      <c r="H18" s="9" t="s">
        <v>36</v>
      </c>
      <c r="I18" s="9" t="s">
        <v>37</v>
      </c>
      <c r="J18" s="9" t="s">
        <v>37</v>
      </c>
      <c r="K18" s="9" t="s">
        <v>37</v>
      </c>
      <c r="L18" s="4">
        <v>10</v>
      </c>
      <c r="M18" s="4" t="s">
        <v>36</v>
      </c>
      <c r="N18" s="9" t="s">
        <v>37</v>
      </c>
      <c r="O18" s="9" t="s">
        <v>37</v>
      </c>
      <c r="P18" s="4">
        <v>10</v>
      </c>
      <c r="Q18" s="4" t="s">
        <v>36</v>
      </c>
      <c r="R18" s="9" t="s">
        <v>37</v>
      </c>
      <c r="S18" s="4" t="s">
        <v>36</v>
      </c>
      <c r="T18" s="9" t="s">
        <v>37</v>
      </c>
      <c r="U18" s="4" t="s">
        <v>38</v>
      </c>
      <c r="V18" s="9" t="s">
        <v>37</v>
      </c>
      <c r="W18" s="9" t="s">
        <v>37</v>
      </c>
      <c r="X18" s="9" t="s">
        <v>52</v>
      </c>
      <c r="Y18" s="4">
        <v>7</v>
      </c>
      <c r="Z18" s="9" t="s">
        <v>136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9"/>
      <c r="B19" s="9"/>
      <c r="C19" s="9" t="s">
        <v>33</v>
      </c>
      <c r="D19" s="10" t="s">
        <v>137</v>
      </c>
      <c r="E19" s="4">
        <v>10</v>
      </c>
      <c r="F19" s="9" t="s">
        <v>138</v>
      </c>
      <c r="G19" s="9" t="s">
        <v>139</v>
      </c>
      <c r="H19" s="9" t="s">
        <v>36</v>
      </c>
      <c r="I19" s="9" t="s">
        <v>37</v>
      </c>
      <c r="J19" s="9" t="s">
        <v>140</v>
      </c>
      <c r="K19" s="9" t="s">
        <v>141</v>
      </c>
      <c r="L19" s="4">
        <v>9</v>
      </c>
      <c r="M19" s="4" t="s">
        <v>36</v>
      </c>
      <c r="N19" s="9" t="s">
        <v>37</v>
      </c>
      <c r="O19" s="9" t="s">
        <v>142</v>
      </c>
      <c r="P19" s="4">
        <v>10</v>
      </c>
      <c r="Q19" s="4" t="s">
        <v>36</v>
      </c>
      <c r="R19" s="9" t="s">
        <v>37</v>
      </c>
      <c r="S19" s="4" t="s">
        <v>36</v>
      </c>
      <c r="T19" s="9" t="s">
        <v>37</v>
      </c>
      <c r="U19" s="4" t="s">
        <v>38</v>
      </c>
      <c r="V19" s="9" t="s">
        <v>37</v>
      </c>
      <c r="W19" s="9" t="s">
        <v>143</v>
      </c>
      <c r="X19" s="9" t="s">
        <v>39</v>
      </c>
      <c r="Y19" s="4">
        <v>10</v>
      </c>
      <c r="Z19" s="9" t="s">
        <v>37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210" x14ac:dyDescent="0.25">
      <c r="A20" s="9"/>
      <c r="B20" s="9"/>
      <c r="C20" s="9" t="s">
        <v>33</v>
      </c>
      <c r="D20" s="10" t="s">
        <v>144</v>
      </c>
      <c r="E20" s="4">
        <v>10</v>
      </c>
      <c r="F20" s="9" t="s">
        <v>145</v>
      </c>
      <c r="G20" s="9" t="s">
        <v>146</v>
      </c>
      <c r="H20" s="9" t="s">
        <v>36</v>
      </c>
      <c r="I20" s="9" t="s">
        <v>37</v>
      </c>
      <c r="J20" s="9" t="s">
        <v>147</v>
      </c>
      <c r="K20" s="9" t="s">
        <v>148</v>
      </c>
      <c r="L20" s="4">
        <v>10</v>
      </c>
      <c r="M20" s="4" t="s">
        <v>36</v>
      </c>
      <c r="N20" s="9" t="s">
        <v>37</v>
      </c>
      <c r="O20" s="9" t="s">
        <v>44</v>
      </c>
      <c r="P20" s="4">
        <v>10</v>
      </c>
      <c r="Q20" s="4" t="s">
        <v>36</v>
      </c>
      <c r="R20" s="9" t="s">
        <v>37</v>
      </c>
      <c r="S20" s="4" t="s">
        <v>36</v>
      </c>
      <c r="T20" s="9" t="s">
        <v>37</v>
      </c>
      <c r="U20" s="4" t="s">
        <v>38</v>
      </c>
      <c r="V20" s="9" t="s">
        <v>37</v>
      </c>
      <c r="W20" s="9" t="s">
        <v>37</v>
      </c>
      <c r="X20" s="9" t="s">
        <v>39</v>
      </c>
      <c r="Y20" s="4">
        <v>10</v>
      </c>
      <c r="Z20" s="9" t="s">
        <v>149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E21" s="1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>
        <f>COUNTIF(E2:E20,5)</f>
        <v>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4" sqref="D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анкета)'!E2:E20)</f>
        <v>9</v>
      </c>
      <c r="C4" s="8">
        <f>AVERAGE('Исходные данные (итог. анкета)'!L:L)</f>
        <v>8.8421052631578956</v>
      </c>
      <c r="D4" s="8">
        <f>AVERAGE('Исходные данные (итог. анкета)'!P:P)</f>
        <v>9.7894736842105257</v>
      </c>
      <c r="E4" s="7">
        <f>COUNTIF('Исходные данные (итог. анкета)'!U:U,"нет")/COUNTA('Исходные данные (итог. анкета)'!U2:U499)</f>
        <v>0.94736842105263153</v>
      </c>
      <c r="F4" s="8">
        <f>AVERAGE('Исходные данные (итог. анкета)'!Y:Y)</f>
        <v>9.7368421052631575</v>
      </c>
      <c r="G4" s="4">
        <f>AVERAGE(B4:D4,F4)</f>
        <v>9.3421052631578956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2026-07-01T10:12:05Z</dcterms:modified>
</cp:coreProperties>
</file>