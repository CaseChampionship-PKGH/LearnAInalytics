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2" l="1"/>
  <c r="E4" i="2"/>
  <c r="D4" i="2"/>
  <c r="C4" i="2"/>
  <c r="B4" i="2" l="1"/>
  <c r="G4" i="2" l="1"/>
</calcChain>
</file>

<file path=xl/sharedStrings.xml><?xml version="1.0" encoding="utf-8"?>
<sst xmlns="http://schemas.openxmlformats.org/spreadsheetml/2006/main" count="413" uniqueCount="173">
  <si>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</si>
  <si>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</si>
  <si>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</si>
  <si>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</si>
  <si>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</si>
  <si>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</si>
  <si>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</si>
  <si>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</si>
  <si>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</si>
  <si>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</si>
  <si>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</si>
  <si>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</si>
  <si>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Был ли достигнут ожидаемый эффект от обучения? Если нет, напишите, пожалуйста, почему?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</si>
  <si>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</si>
  <si>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</si>
  <si>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Достаточно ли практических заданий, примеров, разборов ситуаций? Если нет, какие темы и (или) вопросы требуют большей практической отработки?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</si>
  <si>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</si>
  <si>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</si>
  <si>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</si>
  <si>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Чувствовали ли Вы свою отстраненность от процесса, потерю интереса во время обучения? Если да, в какие моменты обучения они возникали?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</si>
  <si>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</si>
  <si>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</si>
  <si>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</si>
  <si>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</si>
  <si>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</si>
  <si>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</si>
  <si>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</si>
  <si>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да</t>
  </si>
  <si>
    <t>нет</t>
  </si>
  <si>
    <t>Напишите, пожалуйста, почему</t>
  </si>
  <si>
    <t>-</t>
  </si>
  <si>
    <t>никакие</t>
  </si>
  <si>
    <t>ничего</t>
  </si>
  <si>
    <t>Нет</t>
  </si>
  <si>
    <t>Ничего</t>
  </si>
  <si>
    <t>Какие темы и (или) вопросы требуют большей практической отработки? Напишите, пожалуйста, почему</t>
  </si>
  <si>
    <t xml:space="preserve"> Напишите, пожалуйста, подробно</t>
  </si>
  <si>
    <t>Напишите, пожалуйста, подробно</t>
  </si>
  <si>
    <t>Если да, в какие моменты обучения они возникали</t>
  </si>
  <si>
    <t>очное обучение в аудиториях Корпоративного университета</t>
  </si>
  <si>
    <t>смешанное обучение: частично очно, частично дистанционно</t>
  </si>
  <si>
    <t>все</t>
  </si>
  <si>
    <t>таких нет</t>
  </si>
  <si>
    <t>Затрудняюсь ответить</t>
  </si>
  <si>
    <t>все отлично</t>
  </si>
  <si>
    <t>Все понравилось</t>
  </si>
  <si>
    <t>руководитель</t>
  </si>
  <si>
    <t>специалист</t>
  </si>
  <si>
    <t>обеспечивающий специалист</t>
  </si>
  <si>
    <t>советник (помощник)</t>
  </si>
  <si>
    <t>Почему Вы решили пройти обучение по данной программе?</t>
  </si>
  <si>
    <t>Непрерывная оптимизация работы - залог успеха.</t>
  </si>
  <si>
    <t>решение руководителя отдела</t>
  </si>
  <si>
    <t>Получить базовые знания по бережливому производству</t>
  </si>
  <si>
    <t>Занимаюсь координацией проектной деятельности в нашем ИОГВ. Учеба была необходима для обновления знаний и совершенствования умений.</t>
  </si>
  <si>
    <t>Член эксперта компетенций</t>
  </si>
  <si>
    <t>По решению работодателя</t>
  </si>
  <si>
    <t>Научиться применять бережливые технологии в системе государственного управления Санкт-Петербурга</t>
  </si>
  <si>
    <t>Желание научиться оптимизировать процессы и облегчить жизнь коллегам</t>
  </si>
  <si>
    <t>Интересно и познавательно</t>
  </si>
  <si>
    <t>Потому что так решил отдел по вопросам государственной службы и кадров администрации Василеостровского района Санкт-Петербурга</t>
  </si>
  <si>
    <t>Программа непосредственно касается деятельности отдела</t>
  </si>
  <si>
    <t>полезность программы в работе и жизни</t>
  </si>
  <si>
    <t>Повысить уровень знаний и узнать новую информацию, чтобы далее применять ее в работе.</t>
  </si>
  <si>
    <t>Рекомендовали начальник и отдел кадров (что будет полезно)</t>
  </si>
  <si>
    <t>Данное направление очень актуально в процессе осуществления должностных обязанностей</t>
  </si>
  <si>
    <t>Для дальнейшего применения в работе и общего понимания по данной теме</t>
  </si>
  <si>
    <t>При реализации проекта в 2025 году заинтересовался тематикой</t>
  </si>
  <si>
    <t>Участие в реализации проектов Комитета в рамках программы "Эффективный регион"</t>
  </si>
  <si>
    <t>получение дополнительных навыков</t>
  </si>
  <si>
    <t>Методы изучения проблемы</t>
  </si>
  <si>
    <t>Картирование процесса, выявление проблем.</t>
  </si>
  <si>
    <t>оптимизация рабочего процесса</t>
  </si>
  <si>
    <t>все полученные навыки</t>
  </si>
  <si>
    <t>Составление документов, необходимых для реализации проекта</t>
  </si>
  <si>
    <t>5ЭС, картирование, составление карточки проекта</t>
  </si>
  <si>
    <t>Фабрика процессов. Для прохождения ППКО на федеральный образец требуется разработать сценарий Фабрики и провести 4 игры. Хотела поработать с профессионалом, чтобы разобраться как сделать самой.</t>
  </si>
  <si>
    <t>Все изученное очень полезно и необходимо в работе по реализации проектов. Буду использовать все полученные знания.</t>
  </si>
  <si>
    <t>Картирование процессов, защита проекта</t>
  </si>
  <si>
    <t>Защита проекта, применение мер бережливого производства</t>
  </si>
  <si>
    <t>Применение инструментов бережливого управления</t>
  </si>
  <si>
    <t>Составление карточки проекта, составление карт текущего, целевого и идеального состояний</t>
  </si>
  <si>
    <t>программа "Эффективный регион", подготовка карточки lean-проекта
Для реализации оптимизации процессов</t>
  </si>
  <si>
    <t>план мероприятий по улучшению процессов</t>
  </si>
  <si>
    <t>Картирование процесса, система 5С. 5с облегчает ежедневный труд, картирование дает глубокое понимание процесса и возможность находить лишнее.</t>
  </si>
  <si>
    <t>Картирование процесса, система 5С.</t>
  </si>
  <si>
    <t>Методы оптимизации процесса, способы сокращения времени протекания рабочих процессов</t>
  </si>
  <si>
    <t>Методы планирования рабочего времени и организации рабочего места</t>
  </si>
  <si>
    <t>Возможность сократить риски и потери в процессе работы</t>
  </si>
  <si>
    <t>Наиболее актуальными вопросами были вопросы решения неинициативности коллег в реализации программы эффективный регион</t>
  </si>
  <si>
    <t>Практическое применение lean методов. Практические части занятий с "жизненными" ситуациями. Опыт преподавателей</t>
  </si>
  <si>
    <t>Составление карточки проекта, картирование</t>
  </si>
  <si>
    <t>Картирование текущего процесса - появилось детальное понимание проблемы и выявились слабые места процесса</t>
  </si>
  <si>
    <t>Все, что входит в программу</t>
  </si>
  <si>
    <t>Создание карточки проекта, карты потока, 5С.</t>
  </si>
  <si>
    <t>Фабрика процессов, применение бережливых технологий</t>
  </si>
  <si>
    <t>Способы и методы разобраться в проблемах процессов и их решениях</t>
  </si>
  <si>
    <t>Умение разобраться в проблемах процессов и способах их решения</t>
  </si>
  <si>
    <t>Большая часть полученной информации являлась новой и, соответственно, актуальной</t>
  </si>
  <si>
    <t>Все знания, полученные в ходе данного курса, будут применены в дальнейшем</t>
  </si>
  <si>
    <t>Составление карты процесса, потери в процессе, лишние действия в процессе и т.д</t>
  </si>
  <si>
    <t>Оптимизация процессов в структурном подразделении</t>
  </si>
  <si>
    <t>Картирование процесса</t>
  </si>
  <si>
    <t>Самостоятельное картирование без помощи экспертов МФЦ</t>
  </si>
  <si>
    <t>Все актуально</t>
  </si>
  <si>
    <t>Все знания, умения и навыки</t>
  </si>
  <si>
    <t>Оптимизация рабочего процесса</t>
  </si>
  <si>
    <t>Больше практики</t>
  </si>
  <si>
    <t>Замечаний нет.</t>
  </si>
  <si>
    <t>Возможно чуть более подробнее "на пальцах" объяснять, как заполнять всякие карты проектов, карты текущего процесса и т.д.</t>
  </si>
  <si>
    <t>все нужно!</t>
  </si>
  <si>
    <t>курс достаточен</t>
  </si>
  <si>
    <t>Все темы полезны</t>
  </si>
  <si>
    <t>Таких нет, все темы актуальны и полезны</t>
  </si>
  <si>
    <t>Составление сценария Фабрики процессов</t>
  </si>
  <si>
    <t>матрица компетентности</t>
  </si>
  <si>
    <t>всё важно</t>
  </si>
  <si>
    <t>затрудняюсь ответить</t>
  </si>
  <si>
    <t>Сократить историческую часть</t>
  </si>
  <si>
    <t>Расширить практическую часть, больше примеров, живых моделей.</t>
  </si>
  <si>
    <t>Программа полезна и актуальна и без дополнений.</t>
  </si>
  <si>
    <t>Все темы необходимы</t>
  </si>
  <si>
    <t>Все темы взаимосвязаны, исключение не требуется.</t>
  </si>
  <si>
    <t>Дополнения не требуется</t>
  </si>
  <si>
    <t>Историческим экскурсом в истоки программы "Эффективный регион"</t>
  </si>
  <si>
    <t>Азы расчёта экономической выгоды от реализации проектов</t>
  </si>
  <si>
    <t>Такие темы отсутствуют</t>
  </si>
  <si>
    <t>Программа составлена грамотно и логично, не требует дополнений</t>
  </si>
  <si>
    <t>программа полностью устраивает</t>
  </si>
  <si>
    <t>Больше фабрик процессов</t>
  </si>
  <si>
    <t>Примеры простых и успешных проектов других ИОГВ. Ни больниц, ни заводов, ни ИАЦ, а именно других ИОГВ.</t>
  </si>
  <si>
    <t>К организации замечаний нет.</t>
  </si>
  <si>
    <t>Все составлено практично и актуально</t>
  </si>
  <si>
    <t>Больше моделирований процессов с другими обучающимися</t>
  </si>
  <si>
    <t>картирование, фабрики, инфоценрты, матрица компетенций</t>
  </si>
  <si>
    <t>Увеличение их количества</t>
  </si>
  <si>
    <t>Картирование процессов</t>
  </si>
  <si>
    <t>Увеличить их количество</t>
  </si>
  <si>
    <t>всё устраивает</t>
  </si>
  <si>
    <t>Все организовано удобно</t>
  </si>
  <si>
    <t>Изменений не требуется</t>
  </si>
  <si>
    <t>Домашние задания</t>
  </si>
  <si>
    <t>больше практических занятий</t>
  </si>
  <si>
    <t>Я крайне скептически отношусь к БП, но в ходе обучения понял, что хорошие и сильные проекты все-таки могут дать ощутимый и измеримый результат</t>
  </si>
  <si>
    <t>Начать с реальных и близких примеров положительного влияния БП на организацию работы в Администрации СПБ</t>
  </si>
  <si>
    <t>я была вовлечена максимально. Был диалог с преподавателями</t>
  </si>
  <si>
    <t>Вовлеченность была на протяжении всей учебы</t>
  </si>
  <si>
    <t>Логика сохранялась не всегда, возможно из-за большого количества приглашенных экспертов. Однако, к концу программы все встало на свои места.</t>
  </si>
  <si>
    <t>Лекционных и практических занятий было достаточно.</t>
  </si>
  <si>
    <t>все прекрасно</t>
  </si>
  <si>
    <t>Больше игр и фабрик процессов, но в целом было все хорошо</t>
  </si>
  <si>
    <t>Все отлично</t>
  </si>
  <si>
    <t>во время теоретической части из-за особенностей подачи материала одного из лекторов</t>
  </si>
  <si>
    <t>повышение уверенности лектора и избавление от слов паразитов</t>
  </si>
  <si>
    <t>Ничего, не требуется.</t>
  </si>
  <si>
    <t>Отработка отдельных элементов проекта, например структуры процесса</t>
  </si>
  <si>
    <t>Интересная программа, вовлеченность достаточная</t>
  </si>
  <si>
    <t>все и так было хорошо</t>
  </si>
  <si>
    <t>Все вопросы решались оперативно в удобном цифровом формате.</t>
  </si>
  <si>
    <t>полностью удовлетворен</t>
  </si>
  <si>
    <t>Все отлично, никаких проблем.</t>
  </si>
  <si>
    <t>Команда делает свою работу на 100 %. Курс был интересным, интерактивным и практически полезным. Преподаватели очень заинтересованы в передаче знаний и опыта. Вникали во все вопросы и проекты, помогали найти решение. Комфортное сопровождение со стороны методиста.
Спасибо за Вашу работу и заботу о нас!</t>
  </si>
  <si>
    <t>Все вопросы решались оперативно</t>
  </si>
  <si>
    <t>Всё профессионально.
Спасибо!</t>
  </si>
  <si>
    <t>Трудностей не возникало, всегда были на связи отвечали.</t>
  </si>
  <si>
    <t>всё было четко, вовремя и логично</t>
  </si>
  <si>
    <t>отсутствие технической возможности использования выбранного командой КУ мессенджера</t>
  </si>
  <si>
    <t>Большое спасибо преподавателям(Денис, Михаил), кураторы группы Александре.</t>
  </si>
  <si>
    <t>Это очень интересная тема, для применения ее в работе.</t>
  </si>
  <si>
    <t>Все возникающие вопросы и проблемы помогали решить</t>
  </si>
  <si>
    <t>Спасибо за полезное во всех смыслах обучение!</t>
  </si>
  <si>
    <t>Создана отличная командная работа на результат!</t>
  </si>
  <si>
    <t>Все удобно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</si>
</sst>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0" fillId="0" borderId="0" xfId="0" applyNumberFormat="1" applyAlignment="1">
      <alignment wrapText="1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21"/>
    </sheetView>
  </sheetViews>
  <sheetFormatPr defaultRowHeight="15" x14ac:dyDescent="0.25"/>
  <cols>
    <col min="1" max="2" width="22.28515625" customWidth="1"/>
    <col min="3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50</v>
      </c>
      <c r="E1" s="5" t="s">
        <v>23</v>
      </c>
      <c r="F1" s="6" t="s">
        <v>10</v>
      </c>
      <c r="G1" s="6" t="s">
        <v>11</v>
      </c>
      <c r="H1" s="6" t="s">
        <v>12</v>
      </c>
      <c r="I1" s="6" t="s">
        <v>29</v>
      </c>
      <c r="J1" s="6" t="s">
        <v>13</v>
      </c>
      <c r="K1" s="6" t="s">
        <v>14</v>
      </c>
      <c r="L1" s="5" t="s">
        <v>24</v>
      </c>
      <c r="M1" s="6" t="s">
        <v>15</v>
      </c>
      <c r="N1" s="6" t="s">
        <v>35</v>
      </c>
      <c r="O1" s="6" t="s">
        <v>16</v>
      </c>
      <c r="P1" s="5" t="s">
        <v>25</v>
      </c>
      <c r="Q1" s="6" t="s">
        <v>17</v>
      </c>
      <c r="R1" s="6" t="s">
        <v>36</v>
      </c>
      <c r="S1" s="6" t="s">
        <v>18</v>
      </c>
      <c r="T1" s="6" t="s">
        <v>37</v>
      </c>
      <c r="U1" s="6" t="s">
        <v>19</v>
      </c>
      <c r="V1" s="6" t="s">
        <v>38</v>
      </c>
      <c r="W1" s="6" t="s">
        <v>20</v>
      </c>
      <c r="X1" s="6" t="s">
        <v>21</v>
      </c>
      <c r="Y1" s="6" t="s">
        <v>26</v>
      </c>
      <c r="Z1" s="6" t="s">
        <v>22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60" x14ac:dyDescent="0.25">
      <c r="A2" s="9"/>
      <c r="B2" s="9"/>
      <c r="C2" s="9" t="s">
        <v>46</v>
      </c>
      <c r="D2" s="9" t="s">
        <v>51</v>
      </c>
      <c r="E2" s="8">
        <v>10</v>
      </c>
      <c r="F2" s="9" t="s">
        <v>70</v>
      </c>
      <c r="G2" s="9" t="s">
        <v>71</v>
      </c>
      <c r="H2" s="9" t="s">
        <v>27</v>
      </c>
      <c r="I2" s="9"/>
      <c r="J2" s="9" t="s">
        <v>33</v>
      </c>
      <c r="K2" s="9" t="s">
        <v>107</v>
      </c>
      <c r="L2" s="8">
        <v>10</v>
      </c>
      <c r="M2" s="9" t="s">
        <v>27</v>
      </c>
      <c r="N2" s="9" t="s">
        <v>30</v>
      </c>
      <c r="O2" s="9" t="s">
        <v>129</v>
      </c>
      <c r="P2" s="8">
        <v>10</v>
      </c>
      <c r="Q2" s="9" t="s">
        <v>27</v>
      </c>
      <c r="R2" s="9" t="s">
        <v>30</v>
      </c>
      <c r="S2" s="9" t="s">
        <v>27</v>
      </c>
      <c r="T2" s="9" t="s">
        <v>30</v>
      </c>
      <c r="U2" s="9" t="s">
        <v>28</v>
      </c>
      <c r="V2" s="9" t="s">
        <v>30</v>
      </c>
      <c r="W2" s="9" t="s">
        <v>141</v>
      </c>
      <c r="X2" s="9" t="s">
        <v>39</v>
      </c>
      <c r="Y2" s="8">
        <v>10</v>
      </c>
      <c r="Z2" s="9" t="s">
        <v>158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45" x14ac:dyDescent="0.25">
      <c r="A3" s="9"/>
      <c r="B3" s="9"/>
      <c r="C3" s="9" t="s">
        <v>47</v>
      </c>
      <c r="D3" s="9" t="s">
        <v>52</v>
      </c>
      <c r="E3" s="8">
        <v>10</v>
      </c>
      <c r="F3" s="9" t="s">
        <v>72</v>
      </c>
      <c r="G3" s="9" t="s">
        <v>73</v>
      </c>
      <c r="H3" s="9" t="s">
        <v>27</v>
      </c>
      <c r="I3" s="9"/>
      <c r="J3" s="9" t="s">
        <v>30</v>
      </c>
      <c r="K3" s="9" t="s">
        <v>30</v>
      </c>
      <c r="L3" s="8">
        <v>10</v>
      </c>
      <c r="M3" s="9" t="s">
        <v>27</v>
      </c>
      <c r="N3" s="9" t="s">
        <v>30</v>
      </c>
      <c r="O3" s="9" t="s">
        <v>30</v>
      </c>
      <c r="P3" s="8">
        <v>10</v>
      </c>
      <c r="Q3" s="9" t="s">
        <v>27</v>
      </c>
      <c r="R3" s="9" t="s">
        <v>30</v>
      </c>
      <c r="S3" s="9" t="s">
        <v>27</v>
      </c>
      <c r="T3" s="9" t="s">
        <v>30</v>
      </c>
      <c r="U3" s="9" t="s">
        <v>28</v>
      </c>
      <c r="V3" s="9" t="s">
        <v>30</v>
      </c>
      <c r="W3" s="9" t="s">
        <v>142</v>
      </c>
      <c r="X3" s="9" t="s">
        <v>40</v>
      </c>
      <c r="Y3" s="8">
        <v>10</v>
      </c>
      <c r="Z3" s="9" t="s">
        <v>159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105" x14ac:dyDescent="0.25">
      <c r="A4" s="9"/>
      <c r="B4" s="9"/>
      <c r="C4" s="9" t="s">
        <v>47</v>
      </c>
      <c r="D4" s="9" t="s">
        <v>53</v>
      </c>
      <c r="E4" s="8">
        <v>10</v>
      </c>
      <c r="F4" s="9" t="s">
        <v>74</v>
      </c>
      <c r="G4" s="9" t="s">
        <v>75</v>
      </c>
      <c r="H4" s="9" t="s">
        <v>27</v>
      </c>
      <c r="I4" s="9"/>
      <c r="J4" s="9" t="s">
        <v>108</v>
      </c>
      <c r="K4" s="9" t="s">
        <v>109</v>
      </c>
      <c r="L4" s="8">
        <v>10</v>
      </c>
      <c r="M4" s="9" t="s">
        <v>27</v>
      </c>
      <c r="N4" s="9" t="s">
        <v>130</v>
      </c>
      <c r="O4" s="9" t="s">
        <v>131</v>
      </c>
      <c r="P4" s="8">
        <v>8</v>
      </c>
      <c r="Q4" s="9" t="s">
        <v>27</v>
      </c>
      <c r="R4" s="9" t="s">
        <v>30</v>
      </c>
      <c r="S4" s="9" t="s">
        <v>27</v>
      </c>
      <c r="T4" s="9" t="s">
        <v>30</v>
      </c>
      <c r="U4" s="9" t="s">
        <v>27</v>
      </c>
      <c r="V4" s="9" t="s">
        <v>143</v>
      </c>
      <c r="W4" s="9" t="s">
        <v>144</v>
      </c>
      <c r="X4" s="9" t="s">
        <v>39</v>
      </c>
      <c r="Y4" s="8">
        <v>10</v>
      </c>
      <c r="Z4" s="9" t="s">
        <v>160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240" x14ac:dyDescent="0.25">
      <c r="A5" s="9"/>
      <c r="B5" s="9"/>
      <c r="C5" s="9" t="s">
        <v>46</v>
      </c>
      <c r="D5" s="9" t="s">
        <v>54</v>
      </c>
      <c r="E5" s="8">
        <v>10</v>
      </c>
      <c r="F5" s="9" t="s">
        <v>76</v>
      </c>
      <c r="G5" s="9" t="s">
        <v>77</v>
      </c>
      <c r="H5" s="9" t="s">
        <v>27</v>
      </c>
      <c r="I5" s="9"/>
      <c r="J5" s="9" t="s">
        <v>110</v>
      </c>
      <c r="K5" s="9" t="s">
        <v>111</v>
      </c>
      <c r="L5" s="8">
        <v>10</v>
      </c>
      <c r="M5" s="9" t="s">
        <v>27</v>
      </c>
      <c r="N5" s="9" t="s">
        <v>30</v>
      </c>
      <c r="O5" s="9" t="s">
        <v>44</v>
      </c>
      <c r="P5" s="8">
        <v>10</v>
      </c>
      <c r="Q5" s="9" t="s">
        <v>27</v>
      </c>
      <c r="R5" s="9" t="s">
        <v>30</v>
      </c>
      <c r="S5" s="9" t="s">
        <v>27</v>
      </c>
      <c r="T5" s="9" t="s">
        <v>30</v>
      </c>
      <c r="U5" s="9" t="s">
        <v>28</v>
      </c>
      <c r="V5" s="9" t="s">
        <v>30</v>
      </c>
      <c r="W5" s="9" t="s">
        <v>145</v>
      </c>
      <c r="X5" s="9" t="s">
        <v>39</v>
      </c>
      <c r="Y5" s="8">
        <v>10</v>
      </c>
      <c r="Z5" s="9" t="s">
        <v>161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45" x14ac:dyDescent="0.25">
      <c r="A6" s="9"/>
      <c r="B6" s="9"/>
      <c r="C6" s="9" t="s">
        <v>47</v>
      </c>
      <c r="D6" s="9" t="s">
        <v>55</v>
      </c>
      <c r="E6" s="8">
        <v>8</v>
      </c>
      <c r="F6" s="9" t="s">
        <v>78</v>
      </c>
      <c r="G6" s="9" t="s">
        <v>79</v>
      </c>
      <c r="H6" s="9" t="s">
        <v>27</v>
      </c>
      <c r="I6" s="9"/>
      <c r="J6" s="9" t="s">
        <v>112</v>
      </c>
      <c r="K6" s="9" t="s">
        <v>30</v>
      </c>
      <c r="L6" s="8">
        <v>10</v>
      </c>
      <c r="M6" s="9" t="s">
        <v>27</v>
      </c>
      <c r="N6" s="9" t="s">
        <v>30</v>
      </c>
      <c r="O6" s="9" t="s">
        <v>132</v>
      </c>
      <c r="P6" s="8">
        <v>10</v>
      </c>
      <c r="Q6" s="9" t="s">
        <v>27</v>
      </c>
      <c r="R6" s="9" t="s">
        <v>30</v>
      </c>
      <c r="S6" s="9" t="s">
        <v>27</v>
      </c>
      <c r="T6" s="9" t="s">
        <v>30</v>
      </c>
      <c r="U6" s="9" t="s">
        <v>28</v>
      </c>
      <c r="V6" s="9" t="s">
        <v>30</v>
      </c>
      <c r="W6" s="9" t="s">
        <v>146</v>
      </c>
      <c r="X6" s="9" t="s">
        <v>40</v>
      </c>
      <c r="Y6" s="8">
        <v>10</v>
      </c>
      <c r="Z6" s="9" t="s">
        <v>162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105" x14ac:dyDescent="0.25">
      <c r="A7" s="9"/>
      <c r="B7" s="9"/>
      <c r="C7" s="9" t="s">
        <v>47</v>
      </c>
      <c r="D7" s="9" t="s">
        <v>56</v>
      </c>
      <c r="E7" s="8">
        <v>10</v>
      </c>
      <c r="F7" s="9" t="s">
        <v>80</v>
      </c>
      <c r="G7" s="9" t="s">
        <v>81</v>
      </c>
      <c r="H7" s="9" t="s">
        <v>27</v>
      </c>
      <c r="I7" s="9"/>
      <c r="J7" s="9" t="s">
        <v>113</v>
      </c>
      <c r="K7" s="9" t="s">
        <v>114</v>
      </c>
      <c r="L7" s="8">
        <v>10</v>
      </c>
      <c r="M7" s="9" t="s">
        <v>27</v>
      </c>
      <c r="N7" s="9" t="s">
        <v>30</v>
      </c>
      <c r="O7" s="9" t="s">
        <v>30</v>
      </c>
      <c r="P7" s="8">
        <v>10</v>
      </c>
      <c r="Q7" s="9" t="s">
        <v>28</v>
      </c>
      <c r="R7" s="9" t="s">
        <v>147</v>
      </c>
      <c r="S7" s="9" t="s">
        <v>27</v>
      </c>
      <c r="T7" s="9" t="s">
        <v>30</v>
      </c>
      <c r="U7" s="9" t="s">
        <v>28</v>
      </c>
      <c r="V7" s="9" t="s">
        <v>30</v>
      </c>
      <c r="W7" s="9" t="s">
        <v>148</v>
      </c>
      <c r="X7" s="9" t="s">
        <v>40</v>
      </c>
      <c r="Y7" s="8">
        <v>10</v>
      </c>
      <c r="Z7" s="9" t="s">
        <v>30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90" x14ac:dyDescent="0.25">
      <c r="A8" s="9"/>
      <c r="B8" s="9"/>
      <c r="C8" s="9" t="s">
        <v>47</v>
      </c>
      <c r="D8" s="9" t="s">
        <v>57</v>
      </c>
      <c r="E8" s="8">
        <v>10</v>
      </c>
      <c r="F8" s="9" t="s">
        <v>82</v>
      </c>
      <c r="G8" s="9" t="s">
        <v>83</v>
      </c>
      <c r="H8" s="9" t="s">
        <v>27</v>
      </c>
      <c r="I8" s="9"/>
      <c r="J8" s="9" t="s">
        <v>42</v>
      </c>
      <c r="K8" s="9" t="s">
        <v>115</v>
      </c>
      <c r="L8" s="8">
        <v>10</v>
      </c>
      <c r="M8" s="9" t="s">
        <v>27</v>
      </c>
      <c r="N8" s="9" t="s">
        <v>30</v>
      </c>
      <c r="O8" s="9" t="s">
        <v>30</v>
      </c>
      <c r="P8" s="8">
        <v>10</v>
      </c>
      <c r="Q8" s="9" t="s">
        <v>27</v>
      </c>
      <c r="R8" s="9" t="s">
        <v>30</v>
      </c>
      <c r="S8" s="9" t="s">
        <v>27</v>
      </c>
      <c r="T8" s="9" t="s">
        <v>30</v>
      </c>
      <c r="U8" s="9" t="s">
        <v>28</v>
      </c>
      <c r="V8" s="9" t="s">
        <v>30</v>
      </c>
      <c r="W8" s="9" t="s">
        <v>149</v>
      </c>
      <c r="X8" s="9" t="s">
        <v>39</v>
      </c>
      <c r="Y8" s="8">
        <v>10</v>
      </c>
      <c r="Z8" s="9" t="s">
        <v>163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105" x14ac:dyDescent="0.25">
      <c r="A9" s="9"/>
      <c r="B9" s="9"/>
      <c r="C9" s="9" t="s">
        <v>47</v>
      </c>
      <c r="D9" s="9" t="s">
        <v>58</v>
      </c>
      <c r="E9" s="8">
        <v>10</v>
      </c>
      <c r="F9" s="9" t="s">
        <v>84</v>
      </c>
      <c r="G9" s="9" t="s">
        <v>85</v>
      </c>
      <c r="H9" s="9" t="s">
        <v>27</v>
      </c>
      <c r="I9" s="9"/>
      <c r="J9" s="9" t="s">
        <v>30</v>
      </c>
      <c r="K9" s="9" t="s">
        <v>43</v>
      </c>
      <c r="L9" s="8">
        <v>10</v>
      </c>
      <c r="M9" s="9" t="s">
        <v>27</v>
      </c>
      <c r="N9" s="9" t="s">
        <v>30</v>
      </c>
      <c r="O9" s="9" t="s">
        <v>133</v>
      </c>
      <c r="P9" s="8">
        <v>10</v>
      </c>
      <c r="Q9" s="9" t="s">
        <v>27</v>
      </c>
      <c r="R9" s="9" t="s">
        <v>30</v>
      </c>
      <c r="S9" s="9" t="s">
        <v>27</v>
      </c>
      <c r="T9" s="9" t="s">
        <v>30</v>
      </c>
      <c r="U9" s="9" t="s">
        <v>28</v>
      </c>
      <c r="V9" s="9" t="s">
        <v>30</v>
      </c>
      <c r="W9" s="9" t="s">
        <v>150</v>
      </c>
      <c r="X9" s="9" t="s">
        <v>39</v>
      </c>
      <c r="Y9" s="8">
        <v>10</v>
      </c>
      <c r="Z9" s="9" t="s">
        <v>164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75" x14ac:dyDescent="0.25">
      <c r="A10" s="9"/>
      <c r="B10" s="9"/>
      <c r="C10" s="9" t="s">
        <v>47</v>
      </c>
      <c r="D10" s="9" t="s">
        <v>56</v>
      </c>
      <c r="E10" s="8">
        <v>6</v>
      </c>
      <c r="F10" s="9" t="s">
        <v>86</v>
      </c>
      <c r="G10" s="9" t="s">
        <v>87</v>
      </c>
      <c r="H10" s="9" t="s">
        <v>27</v>
      </c>
      <c r="I10" s="9"/>
      <c r="J10" s="9" t="s">
        <v>116</v>
      </c>
      <c r="K10" s="9" t="s">
        <v>117</v>
      </c>
      <c r="L10" s="8">
        <v>10</v>
      </c>
      <c r="M10" s="9" t="s">
        <v>27</v>
      </c>
      <c r="N10" s="9" t="s">
        <v>30</v>
      </c>
      <c r="O10" s="9" t="s">
        <v>30</v>
      </c>
      <c r="P10" s="8">
        <v>8</v>
      </c>
      <c r="Q10" s="9" t="s">
        <v>27</v>
      </c>
      <c r="R10" s="9" t="s">
        <v>30</v>
      </c>
      <c r="S10" s="9" t="s">
        <v>27</v>
      </c>
      <c r="T10" s="9" t="s">
        <v>30</v>
      </c>
      <c r="U10" s="9" t="s">
        <v>28</v>
      </c>
      <c r="V10" s="9" t="s">
        <v>30</v>
      </c>
      <c r="W10" s="9" t="s">
        <v>117</v>
      </c>
      <c r="X10" s="9" t="s">
        <v>40</v>
      </c>
      <c r="Y10" s="8">
        <v>10</v>
      </c>
      <c r="Z10" s="9" t="s">
        <v>165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45" x14ac:dyDescent="0.25">
      <c r="A11" s="9"/>
      <c r="B11" s="9"/>
      <c r="C11" s="9" t="s">
        <v>47</v>
      </c>
      <c r="D11" s="9" t="s">
        <v>59</v>
      </c>
      <c r="E11" s="8">
        <v>10</v>
      </c>
      <c r="F11" s="9" t="s">
        <v>72</v>
      </c>
      <c r="G11" s="9" t="s">
        <v>88</v>
      </c>
      <c r="H11" s="9" t="s">
        <v>27</v>
      </c>
      <c r="I11" s="9"/>
      <c r="J11" s="9" t="s">
        <v>30</v>
      </c>
      <c r="K11" s="9" t="s">
        <v>30</v>
      </c>
      <c r="L11" s="8">
        <v>10</v>
      </c>
      <c r="M11" s="9" t="s">
        <v>27</v>
      </c>
      <c r="N11" s="9" t="s">
        <v>30</v>
      </c>
      <c r="O11" s="9" t="s">
        <v>30</v>
      </c>
      <c r="P11" s="8">
        <v>10</v>
      </c>
      <c r="Q11" s="9" t="s">
        <v>27</v>
      </c>
      <c r="R11" s="9" t="s">
        <v>30</v>
      </c>
      <c r="S11" s="9" t="s">
        <v>27</v>
      </c>
      <c r="T11" s="9" t="s">
        <v>30</v>
      </c>
      <c r="U11" s="9" t="s">
        <v>28</v>
      </c>
      <c r="V11" s="9" t="s">
        <v>30</v>
      </c>
      <c r="W11" s="9" t="s">
        <v>151</v>
      </c>
      <c r="X11" s="9" t="s">
        <v>40</v>
      </c>
      <c r="Y11" s="8">
        <v>10</v>
      </c>
      <c r="Z11" s="9" t="s">
        <v>30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120" x14ac:dyDescent="0.25">
      <c r="A12" s="9"/>
      <c r="B12" s="9"/>
      <c r="C12" s="9" t="s">
        <v>47</v>
      </c>
      <c r="D12" s="9" t="s">
        <v>60</v>
      </c>
      <c r="E12" s="8">
        <v>10</v>
      </c>
      <c r="F12" s="9" t="s">
        <v>89</v>
      </c>
      <c r="G12" s="9" t="s">
        <v>41</v>
      </c>
      <c r="H12" s="9" t="s">
        <v>27</v>
      </c>
      <c r="I12" s="9"/>
      <c r="J12" s="9" t="s">
        <v>30</v>
      </c>
      <c r="K12" s="9" t="s">
        <v>30</v>
      </c>
      <c r="L12" s="8">
        <v>10</v>
      </c>
      <c r="M12" s="9" t="s">
        <v>27</v>
      </c>
      <c r="N12" s="9" t="s">
        <v>30</v>
      </c>
      <c r="O12" s="9" t="s">
        <v>30</v>
      </c>
      <c r="P12" s="8">
        <v>10</v>
      </c>
      <c r="Q12" s="9" t="s">
        <v>27</v>
      </c>
      <c r="R12" s="9" t="s">
        <v>30</v>
      </c>
      <c r="S12" s="9" t="s">
        <v>27</v>
      </c>
      <c r="T12" s="9" t="s">
        <v>30</v>
      </c>
      <c r="U12" s="9" t="s">
        <v>28</v>
      </c>
      <c r="V12" s="9" t="s">
        <v>30</v>
      </c>
      <c r="W12" s="9" t="s">
        <v>30</v>
      </c>
      <c r="X12" s="9" t="s">
        <v>40</v>
      </c>
      <c r="Y12" s="8">
        <v>10</v>
      </c>
      <c r="Z12" s="9" t="s">
        <v>30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75" x14ac:dyDescent="0.25">
      <c r="A13" s="9"/>
      <c r="B13" s="9"/>
      <c r="C13" s="9" t="s">
        <v>47</v>
      </c>
      <c r="D13" s="9" t="s">
        <v>61</v>
      </c>
      <c r="E13" s="8">
        <v>10</v>
      </c>
      <c r="F13" s="9" t="s">
        <v>90</v>
      </c>
      <c r="G13" s="9" t="s">
        <v>91</v>
      </c>
      <c r="H13" s="9" t="s">
        <v>27</v>
      </c>
      <c r="I13" s="9"/>
      <c r="J13" s="9" t="s">
        <v>118</v>
      </c>
      <c r="K13" s="9" t="s">
        <v>119</v>
      </c>
      <c r="L13" s="8">
        <v>8</v>
      </c>
      <c r="M13" s="9" t="s">
        <v>28</v>
      </c>
      <c r="N13" s="9" t="s">
        <v>134</v>
      </c>
      <c r="O13" s="9" t="s">
        <v>135</v>
      </c>
      <c r="P13" s="8">
        <v>7</v>
      </c>
      <c r="Q13" s="9" t="s">
        <v>27</v>
      </c>
      <c r="R13" s="9" t="s">
        <v>30</v>
      </c>
      <c r="S13" s="9" t="s">
        <v>27</v>
      </c>
      <c r="T13" s="9" t="s">
        <v>30</v>
      </c>
      <c r="U13" s="9" t="s">
        <v>27</v>
      </c>
      <c r="V13" s="9" t="s">
        <v>152</v>
      </c>
      <c r="W13" s="9" t="s">
        <v>153</v>
      </c>
      <c r="X13" s="9" t="s">
        <v>40</v>
      </c>
      <c r="Y13" s="8">
        <v>9</v>
      </c>
      <c r="Z13" s="9" t="s">
        <v>166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75" x14ac:dyDescent="0.25">
      <c r="A14" s="9"/>
      <c r="B14" s="9"/>
      <c r="C14" s="9" t="s">
        <v>47</v>
      </c>
      <c r="D14" s="9" t="s">
        <v>62</v>
      </c>
      <c r="E14" s="8">
        <v>10</v>
      </c>
      <c r="F14" s="9" t="s">
        <v>92</v>
      </c>
      <c r="G14" s="9" t="s">
        <v>93</v>
      </c>
      <c r="H14" s="9" t="s">
        <v>27</v>
      </c>
      <c r="I14" s="9"/>
      <c r="J14" s="9" t="s">
        <v>30</v>
      </c>
      <c r="K14" s="9" t="s">
        <v>30</v>
      </c>
      <c r="L14" s="8">
        <v>5</v>
      </c>
      <c r="M14" s="9" t="s">
        <v>28</v>
      </c>
      <c r="N14" s="9" t="s">
        <v>136</v>
      </c>
      <c r="O14" s="9" t="s">
        <v>137</v>
      </c>
      <c r="P14" s="8">
        <v>10</v>
      </c>
      <c r="Q14" s="9" t="s">
        <v>27</v>
      </c>
      <c r="R14" s="9" t="s">
        <v>30</v>
      </c>
      <c r="S14" s="9" t="s">
        <v>27</v>
      </c>
      <c r="T14" s="9" t="s">
        <v>30</v>
      </c>
      <c r="U14" s="9" t="s">
        <v>28</v>
      </c>
      <c r="V14" s="9" t="s">
        <v>30</v>
      </c>
      <c r="W14" s="9" t="s">
        <v>30</v>
      </c>
      <c r="X14" s="9" t="s">
        <v>40</v>
      </c>
      <c r="Y14" s="8">
        <v>10</v>
      </c>
      <c r="Z14" s="9" t="s">
        <v>167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75" x14ac:dyDescent="0.25">
      <c r="A15" s="9"/>
      <c r="B15" s="9"/>
      <c r="C15" s="9" t="s">
        <v>48</v>
      </c>
      <c r="D15" s="9" t="s">
        <v>63</v>
      </c>
      <c r="E15" s="8">
        <v>10</v>
      </c>
      <c r="F15" s="9" t="s">
        <v>94</v>
      </c>
      <c r="G15" s="9" t="s">
        <v>95</v>
      </c>
      <c r="H15" s="9" t="s">
        <v>27</v>
      </c>
      <c r="I15" s="9"/>
      <c r="J15" s="9" t="s">
        <v>30</v>
      </c>
      <c r="K15" s="9" t="s">
        <v>120</v>
      </c>
      <c r="L15" s="8">
        <v>10</v>
      </c>
      <c r="M15" s="9" t="s">
        <v>27</v>
      </c>
      <c r="N15" s="9" t="s">
        <v>30</v>
      </c>
      <c r="O15" s="9" t="s">
        <v>30</v>
      </c>
      <c r="P15" s="8">
        <v>10</v>
      </c>
      <c r="Q15" s="9" t="s">
        <v>27</v>
      </c>
      <c r="R15" s="9" t="s">
        <v>30</v>
      </c>
      <c r="S15" s="9" t="s">
        <v>27</v>
      </c>
      <c r="T15" s="9" t="s">
        <v>30</v>
      </c>
      <c r="U15" s="9" t="s">
        <v>28</v>
      </c>
      <c r="V15" s="9" t="s">
        <v>30</v>
      </c>
      <c r="W15" s="9" t="s">
        <v>30</v>
      </c>
      <c r="X15" s="9" t="s">
        <v>40</v>
      </c>
      <c r="Y15" s="8">
        <v>10</v>
      </c>
      <c r="Z15" s="9" t="s">
        <v>168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60" x14ac:dyDescent="0.25">
      <c r="A16" s="9"/>
      <c r="B16" s="9"/>
      <c r="C16" s="9" t="s">
        <v>47</v>
      </c>
      <c r="D16" s="9" t="s">
        <v>64</v>
      </c>
      <c r="E16" s="8">
        <v>7</v>
      </c>
      <c r="F16" s="9" t="s">
        <v>96</v>
      </c>
      <c r="G16" s="9" t="s">
        <v>97</v>
      </c>
      <c r="H16" s="9" t="s">
        <v>27</v>
      </c>
      <c r="I16" s="9"/>
      <c r="J16" s="9" t="s">
        <v>117</v>
      </c>
      <c r="K16" s="9" t="s">
        <v>117</v>
      </c>
      <c r="L16" s="8">
        <v>10</v>
      </c>
      <c r="M16" s="9" t="s">
        <v>27</v>
      </c>
      <c r="N16" s="9" t="s">
        <v>30</v>
      </c>
      <c r="O16" s="9" t="s">
        <v>138</v>
      </c>
      <c r="P16" s="8">
        <v>7</v>
      </c>
      <c r="Q16" s="9" t="s">
        <v>27</v>
      </c>
      <c r="R16" s="9" t="s">
        <v>30</v>
      </c>
      <c r="S16" s="9" t="s">
        <v>27</v>
      </c>
      <c r="T16" s="9" t="s">
        <v>30</v>
      </c>
      <c r="U16" s="9" t="s">
        <v>28</v>
      </c>
      <c r="V16" s="9" t="s">
        <v>30</v>
      </c>
      <c r="W16" s="9" t="s">
        <v>117</v>
      </c>
      <c r="X16" s="9" t="s">
        <v>40</v>
      </c>
      <c r="Y16" s="8">
        <v>10</v>
      </c>
      <c r="Z16" s="9" t="s">
        <v>169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90" x14ac:dyDescent="0.25">
      <c r="A17" s="9"/>
      <c r="B17" s="9"/>
      <c r="C17" s="9" t="s">
        <v>47</v>
      </c>
      <c r="D17" s="9" t="s">
        <v>65</v>
      </c>
      <c r="E17" s="8">
        <v>10</v>
      </c>
      <c r="F17" s="9" t="s">
        <v>98</v>
      </c>
      <c r="G17" s="9" t="s">
        <v>99</v>
      </c>
      <c r="H17" s="9" t="s">
        <v>27</v>
      </c>
      <c r="I17" s="9"/>
      <c r="J17" s="9" t="s">
        <v>121</v>
      </c>
      <c r="K17" s="9" t="s">
        <v>43</v>
      </c>
      <c r="L17" s="8">
        <v>10</v>
      </c>
      <c r="M17" s="9" t="s">
        <v>27</v>
      </c>
      <c r="N17" s="9" t="s">
        <v>30</v>
      </c>
      <c r="O17" s="9" t="s">
        <v>139</v>
      </c>
      <c r="P17" s="8">
        <v>10</v>
      </c>
      <c r="Q17" s="9" t="s">
        <v>27</v>
      </c>
      <c r="R17" s="9" t="s">
        <v>30</v>
      </c>
      <c r="S17" s="9" t="s">
        <v>27</v>
      </c>
      <c r="T17" s="9" t="s">
        <v>30</v>
      </c>
      <c r="U17" s="9" t="s">
        <v>28</v>
      </c>
      <c r="V17" s="9" t="s">
        <v>30</v>
      </c>
      <c r="W17" s="9" t="s">
        <v>43</v>
      </c>
      <c r="X17" s="9" t="s">
        <v>40</v>
      </c>
      <c r="Y17" s="8">
        <v>10</v>
      </c>
      <c r="Z17" s="9" t="s">
        <v>170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60" x14ac:dyDescent="0.25">
      <c r="A18" s="9"/>
      <c r="B18" s="9"/>
      <c r="C18" s="9" t="s">
        <v>49</v>
      </c>
      <c r="D18" s="9" t="s">
        <v>66</v>
      </c>
      <c r="E18" s="8">
        <v>9</v>
      </c>
      <c r="F18" s="9" t="s">
        <v>100</v>
      </c>
      <c r="G18" s="9" t="s">
        <v>101</v>
      </c>
      <c r="H18" s="9" t="s">
        <v>27</v>
      </c>
      <c r="I18" s="9"/>
      <c r="J18" s="9" t="s">
        <v>122</v>
      </c>
      <c r="K18" s="9" t="s">
        <v>123</v>
      </c>
      <c r="L18" s="8">
        <v>10</v>
      </c>
      <c r="M18" s="9" t="s">
        <v>27</v>
      </c>
      <c r="N18" s="9" t="s">
        <v>30</v>
      </c>
      <c r="O18" s="9" t="s">
        <v>140</v>
      </c>
      <c r="P18" s="8">
        <v>9</v>
      </c>
      <c r="Q18" s="9" t="s">
        <v>27</v>
      </c>
      <c r="R18" s="9" t="s">
        <v>30</v>
      </c>
      <c r="S18" s="9" t="s">
        <v>27</v>
      </c>
      <c r="T18" s="9" t="s">
        <v>30</v>
      </c>
      <c r="U18" s="9" t="s">
        <v>28</v>
      </c>
      <c r="V18" s="9" t="s">
        <v>30</v>
      </c>
      <c r="W18" s="9" t="s">
        <v>154</v>
      </c>
      <c r="X18" s="9" t="s">
        <v>40</v>
      </c>
      <c r="Y18" s="8">
        <v>10</v>
      </c>
      <c r="Z18" s="9" t="s">
        <v>171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60" x14ac:dyDescent="0.25">
      <c r="A19" s="9"/>
      <c r="B19" s="9"/>
      <c r="C19" s="9" t="s">
        <v>47</v>
      </c>
      <c r="D19" s="9" t="s">
        <v>67</v>
      </c>
      <c r="E19" s="8">
        <v>10</v>
      </c>
      <c r="F19" s="9" t="s">
        <v>102</v>
      </c>
      <c r="G19" s="9" t="s">
        <v>103</v>
      </c>
      <c r="H19" s="9" t="s">
        <v>27</v>
      </c>
      <c r="I19" s="9"/>
      <c r="J19" s="9" t="s">
        <v>124</v>
      </c>
      <c r="K19" s="9" t="s">
        <v>125</v>
      </c>
      <c r="L19" s="8">
        <v>9</v>
      </c>
      <c r="M19" s="9" t="s">
        <v>27</v>
      </c>
      <c r="N19" s="9" t="s">
        <v>30</v>
      </c>
      <c r="O19" s="9" t="s">
        <v>30</v>
      </c>
      <c r="P19" s="8">
        <v>10</v>
      </c>
      <c r="Q19" s="9" t="s">
        <v>27</v>
      </c>
      <c r="R19" s="9" t="s">
        <v>30</v>
      </c>
      <c r="S19" s="9" t="s">
        <v>27</v>
      </c>
      <c r="T19" s="9" t="s">
        <v>30</v>
      </c>
      <c r="U19" s="9" t="s">
        <v>28</v>
      </c>
      <c r="V19" s="9" t="s">
        <v>30</v>
      </c>
      <c r="W19" s="9" t="s">
        <v>155</v>
      </c>
      <c r="X19" s="9" t="s">
        <v>40</v>
      </c>
      <c r="Y19" s="8">
        <v>10</v>
      </c>
      <c r="Z19" s="9" t="s">
        <v>30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75" x14ac:dyDescent="0.25">
      <c r="A20" s="9"/>
      <c r="B20" s="9"/>
      <c r="C20" s="9" t="s">
        <v>47</v>
      </c>
      <c r="D20" s="9" t="s">
        <v>68</v>
      </c>
      <c r="E20" s="8">
        <v>10</v>
      </c>
      <c r="F20" s="9" t="s">
        <v>104</v>
      </c>
      <c r="G20" s="9" t="s">
        <v>105</v>
      </c>
      <c r="H20" s="9" t="s">
        <v>27</v>
      </c>
      <c r="I20" s="9"/>
      <c r="J20" s="9" t="s">
        <v>126</v>
      </c>
      <c r="K20" s="9" t="s">
        <v>127</v>
      </c>
      <c r="L20" s="8">
        <v>10</v>
      </c>
      <c r="M20" s="9" t="s">
        <v>27</v>
      </c>
      <c r="N20" s="9" t="s">
        <v>30</v>
      </c>
      <c r="O20" s="9" t="s">
        <v>34</v>
      </c>
      <c r="P20" s="8">
        <v>10</v>
      </c>
      <c r="Q20" s="9" t="s">
        <v>27</v>
      </c>
      <c r="R20" s="9" t="s">
        <v>30</v>
      </c>
      <c r="S20" s="9" t="s">
        <v>27</v>
      </c>
      <c r="T20" s="9" t="s">
        <v>30</v>
      </c>
      <c r="U20" s="9" t="s">
        <v>28</v>
      </c>
      <c r="V20" s="9" t="s">
        <v>30</v>
      </c>
      <c r="W20" s="9" t="s">
        <v>156</v>
      </c>
      <c r="X20" s="9" t="s">
        <v>40</v>
      </c>
      <c r="Y20" s="8">
        <v>10</v>
      </c>
      <c r="Z20" s="9" t="s">
        <v>172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45" x14ac:dyDescent="0.25">
      <c r="A21" s="9"/>
      <c r="B21" s="9"/>
      <c r="C21" s="9" t="s">
        <v>47</v>
      </c>
      <c r="D21" s="9" t="s">
        <v>69</v>
      </c>
      <c r="E21" s="8">
        <v>10</v>
      </c>
      <c r="F21" s="9" t="s">
        <v>106</v>
      </c>
      <c r="G21" s="9" t="s">
        <v>106</v>
      </c>
      <c r="H21" s="9" t="s">
        <v>27</v>
      </c>
      <c r="I21" s="9"/>
      <c r="J21" s="9" t="s">
        <v>31</v>
      </c>
      <c r="K21" s="9" t="s">
        <v>128</v>
      </c>
      <c r="L21" s="8">
        <v>10</v>
      </c>
      <c r="M21" s="9" t="s">
        <v>27</v>
      </c>
      <c r="N21" s="9" t="s">
        <v>30</v>
      </c>
      <c r="O21" s="9" t="s">
        <v>32</v>
      </c>
      <c r="P21" s="8">
        <v>10</v>
      </c>
      <c r="Q21" s="9" t="s">
        <v>27</v>
      </c>
      <c r="R21" s="9" t="s">
        <v>30</v>
      </c>
      <c r="S21" s="9" t="s">
        <v>27</v>
      </c>
      <c r="T21" s="9" t="s">
        <v>30</v>
      </c>
      <c r="U21" s="9" t="s">
        <v>28</v>
      </c>
      <c r="V21" s="9" t="s">
        <v>30</v>
      </c>
      <c r="W21" s="9" t="s">
        <v>157</v>
      </c>
      <c r="X21" s="9" t="s">
        <v>40</v>
      </c>
      <c r="Y21" s="8">
        <v>10</v>
      </c>
      <c r="Z21" s="9" t="s">
        <v>45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x14ac:dyDescent="0.25">
      <c r="A22" s="9"/>
      <c r="B22" s="9"/>
      <c r="C22" s="9"/>
      <c r="D22" s="9"/>
      <c r="E22" s="8"/>
      <c r="F22" s="9"/>
      <c r="G22" s="9"/>
      <c r="H22" s="9"/>
      <c r="I22" s="9"/>
      <c r="J22" s="9"/>
      <c r="K22" s="9"/>
      <c r="L22" s="8"/>
      <c r="M22" s="9"/>
      <c r="N22" s="9"/>
      <c r="O22" s="9"/>
      <c r="P22" s="8"/>
      <c r="Q22" s="9"/>
      <c r="R22" s="9"/>
      <c r="S22" s="9"/>
      <c r="T22" s="9"/>
      <c r="U22" s="9"/>
      <c r="V22" s="9"/>
      <c r="W22" s="9"/>
      <c r="X22" s="9"/>
      <c r="Y22" s="9"/>
      <c r="Z22" s="9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x14ac:dyDescent="0.25">
      <c r="A23" s="9"/>
      <c r="B23" s="9"/>
      <c r="C23" s="9"/>
      <c r="D23" s="9"/>
      <c r="E23" s="8"/>
      <c r="F23" s="9"/>
      <c r="G23" s="9"/>
      <c r="H23" s="9"/>
      <c r="I23" s="9"/>
      <c r="J23" s="9"/>
      <c r="K23" s="9"/>
      <c r="L23" s="8"/>
      <c r="M23" s="9"/>
      <c r="N23" s="9"/>
      <c r="O23" s="9"/>
      <c r="P23" s="8"/>
      <c r="Q23" s="9"/>
      <c r="R23" s="9"/>
      <c r="S23" s="9"/>
      <c r="T23" s="9"/>
      <c r="U23" s="9"/>
      <c r="V23" s="9"/>
      <c r="W23" s="9"/>
      <c r="X23" s="9"/>
      <c r="Y23" s="9"/>
      <c r="Z23" s="9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x14ac:dyDescent="0.25">
      <c r="A24" s="9"/>
      <c r="B24" s="9"/>
      <c r="C24" s="9"/>
      <c r="D24" s="9"/>
      <c r="E24" s="8"/>
      <c r="F24" s="9"/>
      <c r="G24" s="9"/>
      <c r="H24" s="9"/>
      <c r="I24" s="9"/>
      <c r="J24" s="9"/>
      <c r="K24" s="9"/>
      <c r="L24" s="8"/>
      <c r="M24" s="9"/>
      <c r="N24" s="9"/>
      <c r="O24" s="9"/>
      <c r="P24" s="8"/>
      <c r="Q24" s="9"/>
      <c r="R24" s="9"/>
      <c r="S24" s="9"/>
      <c r="T24" s="9"/>
      <c r="U24" s="9"/>
      <c r="V24" s="9"/>
      <c r="W24" s="9"/>
      <c r="X24" s="9"/>
      <c r="Y24" s="9"/>
      <c r="Z24" s="9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x14ac:dyDescent="0.25">
      <c r="A25" s="9"/>
      <c r="B25" s="9"/>
      <c r="C25" s="9"/>
      <c r="D25" s="9"/>
      <c r="E25" s="8"/>
      <c r="F25" s="9"/>
      <c r="G25" s="9"/>
      <c r="H25" s="9"/>
      <c r="I25" s="9"/>
      <c r="J25" s="9"/>
      <c r="K25" s="9"/>
      <c r="L25" s="8"/>
      <c r="M25" s="9"/>
      <c r="N25" s="9"/>
      <c r="O25" s="9"/>
      <c r="P25" s="8"/>
      <c r="Q25" s="9"/>
      <c r="R25" s="9"/>
      <c r="S25" s="9"/>
      <c r="T25" s="9"/>
      <c r="U25" s="9"/>
      <c r="V25" s="9"/>
      <c r="W25" s="9"/>
      <c r="X25" s="9"/>
      <c r="Y25" s="9"/>
      <c r="Z25" s="9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x14ac:dyDescent="0.25">
      <c r="A26" s="9"/>
      <c r="B26" s="9"/>
      <c r="C26" s="9"/>
      <c r="D26" s="9"/>
      <c r="E26" s="8"/>
      <c r="F26" s="9"/>
      <c r="G26" s="9"/>
      <c r="H26" s="9"/>
      <c r="I26" s="9"/>
      <c r="J26" s="9"/>
      <c r="K26" s="9"/>
      <c r="L26" s="8"/>
      <c r="M26" s="9"/>
      <c r="N26" s="9"/>
      <c r="O26" s="9"/>
      <c r="P26" s="8"/>
      <c r="Q26" s="9"/>
      <c r="R26" s="9"/>
      <c r="S26" s="9"/>
      <c r="T26" s="9"/>
      <c r="U26" s="9"/>
      <c r="V26" s="9"/>
      <c r="W26" s="9"/>
      <c r="X26" s="9"/>
      <c r="Y26" s="9"/>
      <c r="Z26" s="9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9"/>
      <c r="B27" s="9"/>
      <c r="C27" s="9"/>
      <c r="D27" s="9"/>
      <c r="E27" s="8"/>
      <c r="F27" s="9"/>
      <c r="G27" s="9"/>
      <c r="H27" s="9"/>
      <c r="I27" s="9"/>
      <c r="J27" s="9"/>
      <c r="K27" s="9"/>
      <c r="L27" s="8"/>
      <c r="M27" s="9"/>
      <c r="N27" s="9"/>
      <c r="O27" s="9"/>
      <c r="P27" s="8"/>
      <c r="Q27" s="9"/>
      <c r="R27" s="9"/>
      <c r="S27" s="9"/>
      <c r="T27" s="9"/>
      <c r="U27" s="9"/>
      <c r="V27" s="9"/>
      <c r="W27" s="9"/>
      <c r="X27" s="9"/>
      <c r="Y27" s="9"/>
      <c r="Z27" s="9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9"/>
      <c r="B28" s="9"/>
      <c r="C28" s="9"/>
      <c r="D28" s="9"/>
      <c r="E28" s="8"/>
      <c r="F28" s="9"/>
      <c r="G28" s="9"/>
      <c r="H28" s="9"/>
      <c r="I28" s="9"/>
      <c r="J28" s="9"/>
      <c r="K28" s="9"/>
      <c r="L28" s="8"/>
      <c r="M28" s="9"/>
      <c r="N28" s="9"/>
      <c r="O28" s="9"/>
      <c r="P28" s="8"/>
      <c r="Q28" s="9"/>
      <c r="R28" s="9"/>
      <c r="S28" s="9"/>
      <c r="T28" s="9"/>
      <c r="U28" s="9"/>
      <c r="V28" s="9"/>
      <c r="W28" s="9"/>
      <c r="X28" s="9"/>
      <c r="Y28" s="9"/>
      <c r="Z28" s="9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9"/>
      <c r="B29" s="9"/>
      <c r="C29" s="9"/>
      <c r="D29" s="9"/>
      <c r="E29" s="8"/>
      <c r="F29" s="9"/>
      <c r="G29" s="9"/>
      <c r="H29" s="9"/>
      <c r="I29" s="9"/>
      <c r="J29" s="9"/>
      <c r="K29" s="9"/>
      <c r="L29" s="8"/>
      <c r="M29" s="9"/>
      <c r="N29" s="9"/>
      <c r="O29" s="9"/>
      <c r="P29" s="8"/>
      <c r="Q29" s="9"/>
      <c r="R29" s="9"/>
      <c r="S29" s="9"/>
      <c r="T29" s="9"/>
      <c r="U29" s="9"/>
      <c r="V29" s="9"/>
      <c r="W29" s="9"/>
      <c r="X29" s="9"/>
      <c r="Y29" s="9"/>
      <c r="Z29" s="9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9"/>
      <c r="B30" s="9"/>
      <c r="C30" s="9"/>
      <c r="D30" s="9"/>
      <c r="E30" s="8"/>
      <c r="F30" s="9"/>
      <c r="G30" s="9"/>
      <c r="H30" s="9"/>
      <c r="I30" s="9"/>
      <c r="J30" s="9"/>
      <c r="K30" s="9"/>
      <c r="L30" s="8"/>
      <c r="M30" s="9"/>
      <c r="N30" s="9"/>
      <c r="O30" s="9"/>
      <c r="P30" s="8"/>
      <c r="Q30" s="9"/>
      <c r="R30" s="9"/>
      <c r="S30" s="9"/>
      <c r="T30" s="9"/>
      <c r="U30" s="9"/>
      <c r="V30" s="9"/>
      <c r="W30" s="9"/>
      <c r="X30" s="9"/>
      <c r="Y30" s="9"/>
      <c r="Z30" s="9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9"/>
      <c r="B31" s="9"/>
      <c r="C31" s="9"/>
      <c r="D31" s="9"/>
      <c r="E31" s="8"/>
      <c r="F31" s="9"/>
      <c r="G31" s="9"/>
      <c r="H31" s="9"/>
      <c r="I31" s="9"/>
      <c r="J31" s="9"/>
      <c r="K31" s="9"/>
      <c r="L31" s="8"/>
      <c r="M31" s="8"/>
      <c r="N31" s="9"/>
      <c r="O31" s="9"/>
      <c r="P31" s="8"/>
      <c r="Q31" s="8"/>
      <c r="R31" s="9"/>
      <c r="S31" s="8"/>
      <c r="T31" s="9"/>
      <c r="U31" s="8"/>
      <c r="V31" s="9"/>
      <c r="W31" s="9"/>
      <c r="X31" s="9"/>
      <c r="Y31" s="8"/>
      <c r="Z31" s="9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9"/>
      <c r="B32" s="9"/>
      <c r="C32" s="9"/>
      <c r="D32" s="9"/>
      <c r="E32" s="8"/>
      <c r="F32" s="9"/>
      <c r="G32" s="9"/>
      <c r="H32" s="9"/>
      <c r="I32" s="9"/>
      <c r="J32" s="9"/>
      <c r="K32" s="9"/>
      <c r="L32" s="8"/>
      <c r="M32" s="8"/>
      <c r="N32" s="9"/>
      <c r="O32" s="9"/>
      <c r="P32" s="8"/>
      <c r="Q32" s="8"/>
      <c r="R32" s="9"/>
      <c r="S32" s="8"/>
      <c r="T32" s="9"/>
      <c r="U32" s="8"/>
      <c r="V32" s="9"/>
      <c r="W32" s="9"/>
      <c r="X32" s="9"/>
      <c r="Y32" s="8"/>
      <c r="Z32" s="9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9"/>
      <c r="B33" s="9"/>
      <c r="C33" s="9"/>
      <c r="D33" s="9"/>
      <c r="E33" s="8"/>
      <c r="F33" s="9"/>
      <c r="G33" s="9"/>
      <c r="H33" s="9"/>
      <c r="I33" s="9"/>
      <c r="J33" s="9"/>
      <c r="K33" s="9"/>
      <c r="L33" s="8"/>
      <c r="M33" s="8"/>
      <c r="N33" s="9"/>
      <c r="O33" s="9"/>
      <c r="P33" s="8"/>
      <c r="Q33" s="8"/>
      <c r="R33" s="9"/>
      <c r="S33" s="8"/>
      <c r="T33" s="9"/>
      <c r="U33" s="8"/>
      <c r="V33" s="9"/>
      <c r="W33" s="9"/>
      <c r="X33" s="9"/>
      <c r="Y33" s="8"/>
      <c r="Z33" s="9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9"/>
      <c r="B34" s="9"/>
      <c r="C34" s="9"/>
      <c r="D34" s="9"/>
      <c r="E34" s="8"/>
      <c r="F34" s="9"/>
      <c r="G34" s="9"/>
      <c r="H34" s="9"/>
      <c r="I34" s="9"/>
      <c r="J34" s="9"/>
      <c r="K34" s="9"/>
      <c r="L34" s="8"/>
      <c r="M34" s="8"/>
      <c r="N34" s="9"/>
      <c r="O34" s="9"/>
      <c r="P34" s="8"/>
      <c r="Q34" s="8"/>
      <c r="R34" s="9"/>
      <c r="S34" s="8"/>
      <c r="T34" s="9"/>
      <c r="U34" s="8"/>
      <c r="V34" s="9"/>
      <c r="W34" s="9"/>
      <c r="X34" s="9"/>
      <c r="Y34" s="8"/>
      <c r="Z34" s="9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9"/>
      <c r="B35" s="9"/>
      <c r="C35" s="9"/>
      <c r="D35" s="9"/>
      <c r="E35" s="8"/>
      <c r="F35" s="9"/>
      <c r="G35" s="9"/>
      <c r="H35" s="9"/>
      <c r="I35" s="9"/>
      <c r="J35" s="9"/>
      <c r="K35" s="9"/>
      <c r="L35" s="8"/>
      <c r="M35" s="8"/>
      <c r="N35" s="9"/>
      <c r="O35" s="9"/>
      <c r="P35" s="8"/>
      <c r="Q35" s="8"/>
      <c r="R35" s="9"/>
      <c r="S35" s="8"/>
      <c r="T35" s="9"/>
      <c r="U35" s="8"/>
      <c r="V35" s="9"/>
      <c r="W35" s="9"/>
      <c r="X35" s="9"/>
      <c r="Y35" s="8"/>
      <c r="Z35" s="9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9"/>
      <c r="B36" s="9"/>
      <c r="C36" s="9"/>
      <c r="D36" s="9"/>
      <c r="E36" s="8"/>
      <c r="F36" s="9"/>
      <c r="G36" s="9"/>
      <c r="H36" s="9"/>
      <c r="I36" s="9"/>
      <c r="J36" s="9"/>
      <c r="K36" s="9"/>
      <c r="L36" s="8"/>
      <c r="M36" s="8"/>
      <c r="N36" s="9"/>
      <c r="O36" s="9"/>
      <c r="P36" s="8"/>
      <c r="Q36" s="8"/>
      <c r="R36" s="9"/>
      <c r="S36" s="8"/>
      <c r="T36" s="9"/>
      <c r="U36" s="8"/>
      <c r="V36" s="9"/>
      <c r="W36" s="9"/>
      <c r="X36" s="9"/>
      <c r="Y36" s="8"/>
      <c r="Z36" s="9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9"/>
      <c r="B37" s="9"/>
      <c r="C37" s="9"/>
      <c r="D37" s="9"/>
      <c r="E37" s="8"/>
      <c r="F37" s="9"/>
      <c r="G37" s="9"/>
      <c r="H37" s="9"/>
      <c r="I37" s="9"/>
      <c r="J37" s="9"/>
      <c r="K37" s="9"/>
      <c r="L37" s="8"/>
      <c r="M37" s="8"/>
      <c r="N37" s="9"/>
      <c r="O37" s="9"/>
      <c r="P37" s="8"/>
      <c r="Q37" s="8"/>
      <c r="R37" s="9"/>
      <c r="S37" s="8"/>
      <c r="T37" s="1"/>
      <c r="U37" s="8"/>
      <c r="V37" s="9"/>
      <c r="W37" s="9"/>
      <c r="X37" s="9"/>
      <c r="Y37" s="8"/>
      <c r="Z37" s="9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F4" sqref="F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1" t="s">
        <v>6</v>
      </c>
      <c r="C2" s="11"/>
      <c r="D2" s="11"/>
      <c r="E2" s="11"/>
      <c r="F2" s="11"/>
      <c r="G2" s="11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10">
        <f>AVERAGE('Исходные данные (итог. анкета)'!E:E)</f>
        <v>9.5</v>
      </c>
      <c r="C4" s="10">
        <f>AVERAGE('Исходные данные (итог. анкета)'!L2:L37)</f>
        <v>9.6</v>
      </c>
      <c r="D4" s="10">
        <f>AVERAGE('Исходные данные (итог. анкета)'!P2:P37)</f>
        <v>9.4499999999999993</v>
      </c>
      <c r="E4" s="7">
        <f>COUNTIF('Исходные данные (итог. анкета)'!U2:U37,"нет")/COUNTA('Исходные данные (итог. анкета)'!U2:U499)</f>
        <v>0.9</v>
      </c>
      <c r="F4" s="10">
        <f>AVERAGE('Исходные данные (итог. анкета)'!Y2:Y37)</f>
        <v>9.9499999999999993</v>
      </c>
      <c r="G4" s="4">
        <f>AVERAGE(B4:D4,F4)</f>
        <v>9.625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2026-07-01T09:30:46Z</dcterms:modified>
</cp:coreProperties>
</file>