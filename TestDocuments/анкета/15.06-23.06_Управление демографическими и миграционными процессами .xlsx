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<sst xmlns="http://schemas.openxmlformats.org/spreadsheetml/2006/main" count="193" uniqueCount="94">
  <si>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</si>
  <si>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</si>
  <si>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</si>
  <si>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</si>
  <si>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</si>
  <si>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</si>
  <si>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</si>
  <si>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</si>
  <si>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</si>
  <si>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</si>
  <si>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</si>
  <si>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</si>
  <si>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</si>
  <si>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</si>
  <si>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</si>
  <si>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</si>
  <si>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</si>
  <si>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</si>
  <si>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</si>
  <si>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</si>
  <si>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</si>
  <si>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</si>
  <si>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</si>
  <si>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</si>
  <si>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</si>
  <si>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</si>
  <si>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</si>
  <si>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</si>
  <si>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</si>
  <si>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</si>
  <si>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</si>
  <si>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</si>
  <si>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</si>
  <si>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</si>
  <si>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по предложению кадровой службы</t>
  </si>
  <si>
    <t>вопросы демографии, напрямую связано с моей работой</t>
  </si>
  <si>
    <t>усилила свою правовую базу по НПА по вопросам демографии</t>
  </si>
  <si>
    <t>да</t>
  </si>
  <si>
    <t>-</t>
  </si>
  <si>
    <t>в принципе все рассмотренные вопросы были полезны</t>
  </si>
  <si>
    <t>затрудняюсь ответить</t>
  </si>
  <si>
    <t>по рассмотренным вопросам практики было вполне достаточно</t>
  </si>
  <si>
    <t>нет</t>
  </si>
  <si>
    <t>смешанное обучение: частично очно, частично дистанционно</t>
  </si>
  <si>
    <t>близко к идеалу</t>
  </si>
  <si>
    <t>повышение квалификации по направлению "Миграционные процессы"</t>
  </si>
  <si>
    <t>миграционные процессы; данное направление непосредственно связано с моей служебной деятельностью</t>
  </si>
  <si>
    <t>изменения в миграционном законодательстве; нормативно-правовое регулирование в миграционной политике; стратегия социально-культурной адаптации и интеграции мигрантов</t>
  </si>
  <si>
    <t>полностью дистанционный формат обучения</t>
  </si>
  <si>
    <t>эффективный и полезный курс обучения</t>
  </si>
  <si>
    <t>для актуализации имеющихся знаний, необходимых для исполнения служебных обязанностей</t>
  </si>
  <si>
    <t>вопросы миграционной политики, поскольку непосредственно связаны с работой</t>
  </si>
  <si>
    <t>по вопросам, связанным с демографией</t>
  </si>
  <si>
    <t>не требуется</t>
  </si>
  <si>
    <t>практические кейсы, сложные случаи</t>
  </si>
  <si>
    <t>время проведения</t>
  </si>
  <si>
    <t>больше экспертов</t>
  </si>
  <si>
    <t>оперативно, доступно</t>
  </si>
  <si>
    <t>Хотела повысить квалификацию по управлению демограф. и миграцион.процессам</t>
  </si>
  <si>
    <t>Демография и миграция</t>
  </si>
  <si>
    <t>Демографию и миграцию</t>
  </si>
  <si>
    <t>Никакие</t>
  </si>
  <si>
    <t>Видеоконференции</t>
  </si>
  <si>
    <t>Ничего</t>
  </si>
  <si>
    <t>Игра</t>
  </si>
  <si>
    <t>очное обучение в аудиториях Корпоративного университета</t>
  </si>
  <si>
    <t>все было эффективно</t>
  </si>
  <si>
    <t>Работаю в секторе детских пособий, поэтому данная тематика близка и очень полезна.</t>
  </si>
  <si>
    <t>Очень актуальны вопросы демографии - статистика смертности и рождаемости. 
Интересные данные о мерах социальной поддержки, а также нововведения в сфере медицины</t>
  </si>
  <si>
    <t>всё что связано с мерами социальной поддержки семей с детьми</t>
  </si>
  <si>
    <t>все темы полезны и актуальны</t>
  </si>
  <si>
    <t>не хватало практических занятий и игр.</t>
  </si>
  <si>
    <t>было бы интересно выполнять какие-то домашние задания</t>
  </si>
  <si>
    <t>практические задания и видео ролики</t>
  </si>
  <si>
    <t>Хорошие преподаватели и коллеги, с которыми обучалась</t>
  </si>
  <si>
    <t>руководитель</t>
  </si>
  <si>
    <t>Данная программа связана с исполнением моих служебных обязанностей</t>
  </si>
  <si>
    <t>Вопросы миграционной политики. В связи с тем, что занимаюсь льготными категориями граждан, среди которых довольно часто встречаются многодетные семьи бывших мигрантов.</t>
  </si>
  <si>
    <t>Есть понимание того, как город решает вопрос с повышением рождаемости и трудовыми резервами.</t>
  </si>
  <si>
    <t>Такие темы и вопросы отсутствуют</t>
  </si>
  <si>
    <t>вопросами трудоустройства в рамках темы миграционной политики</t>
  </si>
  <si>
    <t>большее количество примеров</t>
  </si>
  <si>
    <t>затрудняюсь с ответом</t>
  </si>
  <si>
    <t>Все было отлично</t>
  </si>
  <si>
    <t>повышение квалификации</t>
  </si>
  <si>
    <t>национальные проекты</t>
  </si>
  <si>
    <t>все</t>
  </si>
  <si>
    <t>никакие</t>
  </si>
  <si>
    <t>ничего</t>
  </si>
  <si>
    <t>постоянное сопровождение на всем периоде обучения</t>
  </si>
  <si>
    <t>советник (помощник)</t>
  </si>
  <si>
    <t>Связано с направлением работы</t>
  </si>
  <si>
    <t>вопросы демографии</t>
  </si>
  <si>
    <t>о реализации национальных проектов в сфере семейной и демографической политике и др.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</si>
</sst>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9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45" x14ac:dyDescent="0.25">
      <c r="A2" s="9"/>
      <c r="B2" s="9"/>
      <c r="C2" s="9" t="s">
        <v>33</v>
      </c>
      <c r="D2" s="9" t="s">
        <v>34</v>
      </c>
      <c r="E2" s="10">
        <v>10</v>
      </c>
      <c r="F2" s="11" t="s">
        <v>35</v>
      </c>
      <c r="G2" s="11" t="s">
        <v>36</v>
      </c>
      <c r="H2" s="11" t="s">
        <v>37</v>
      </c>
      <c r="I2" s="11" t="s">
        <v>38</v>
      </c>
      <c r="J2" s="11" t="s">
        <v>39</v>
      </c>
      <c r="K2" s="11" t="s">
        <v>40</v>
      </c>
      <c r="L2" s="10">
        <v>8</v>
      </c>
      <c r="M2" s="11" t="s">
        <v>37</v>
      </c>
      <c r="N2" s="11" t="s">
        <v>38</v>
      </c>
      <c r="O2" s="11" t="s">
        <v>41</v>
      </c>
      <c r="P2" s="10">
        <v>8</v>
      </c>
      <c r="Q2" s="11" t="s">
        <v>37</v>
      </c>
      <c r="R2" s="11" t="s">
        <v>38</v>
      </c>
      <c r="S2" s="11" t="s">
        <v>37</v>
      </c>
      <c r="T2" s="11" t="s">
        <v>38</v>
      </c>
      <c r="U2" s="11" t="s">
        <v>42</v>
      </c>
      <c r="V2" s="11" t="s">
        <v>38</v>
      </c>
      <c r="W2" s="11" t="s">
        <v>40</v>
      </c>
      <c r="X2" s="11" t="s">
        <v>43</v>
      </c>
      <c r="Y2" s="10">
        <v>8</v>
      </c>
      <c r="Z2" s="11" t="s">
        <v>44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135" x14ac:dyDescent="0.25">
      <c r="A3" s="9"/>
      <c r="B3" s="9"/>
      <c r="C3" s="9" t="s">
        <v>33</v>
      </c>
      <c r="D3" s="9" t="s">
        <v>45</v>
      </c>
      <c r="E3" s="10">
        <v>9</v>
      </c>
      <c r="F3" s="11" t="s">
        <v>46</v>
      </c>
      <c r="G3" s="11" t="s">
        <v>47</v>
      </c>
      <c r="H3" s="11" t="s">
        <v>37</v>
      </c>
      <c r="I3" s="11" t="s">
        <v>38</v>
      </c>
      <c r="J3" s="11" t="s">
        <v>38</v>
      </c>
      <c r="K3" s="11" t="s">
        <v>38</v>
      </c>
      <c r="L3" s="10">
        <v>9</v>
      </c>
      <c r="M3" s="11" t="s">
        <v>37</v>
      </c>
      <c r="N3" s="11" t="s">
        <v>38</v>
      </c>
      <c r="O3" s="11" t="s">
        <v>38</v>
      </c>
      <c r="P3" s="10">
        <v>9</v>
      </c>
      <c r="Q3" s="11" t="s">
        <v>37</v>
      </c>
      <c r="R3" s="11" t="s">
        <v>38</v>
      </c>
      <c r="S3" s="11" t="s">
        <v>37</v>
      </c>
      <c r="T3" s="11" t="s">
        <v>38</v>
      </c>
      <c r="U3" s="11" t="s">
        <v>42</v>
      </c>
      <c r="V3" s="11" t="s">
        <v>38</v>
      </c>
      <c r="W3" s="11" t="s">
        <v>38</v>
      </c>
      <c r="X3" s="11" t="s">
        <v>48</v>
      </c>
      <c r="Y3" s="10">
        <v>9</v>
      </c>
      <c r="Z3" s="11" t="s">
        <v>49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90" x14ac:dyDescent="0.25">
      <c r="A4" s="9"/>
      <c r="B4" s="9"/>
      <c r="C4" s="9" t="s">
        <v>33</v>
      </c>
      <c r="D4" s="9" t="s">
        <v>50</v>
      </c>
      <c r="E4" s="10">
        <v>7</v>
      </c>
      <c r="F4" s="11" t="s">
        <v>51</v>
      </c>
      <c r="G4" s="11" t="s">
        <v>52</v>
      </c>
      <c r="H4" s="11" t="s">
        <v>37</v>
      </c>
      <c r="I4" s="11" t="s">
        <v>38</v>
      </c>
      <c r="J4" s="11" t="s">
        <v>53</v>
      </c>
      <c r="K4" s="11" t="s">
        <v>54</v>
      </c>
      <c r="L4" s="10">
        <v>8</v>
      </c>
      <c r="M4" s="11" t="s">
        <v>42</v>
      </c>
      <c r="N4" s="11" t="s">
        <v>38</v>
      </c>
      <c r="O4" s="11" t="s">
        <v>55</v>
      </c>
      <c r="P4" s="10">
        <v>10</v>
      </c>
      <c r="Q4" s="11" t="s">
        <v>37</v>
      </c>
      <c r="R4" s="11" t="s">
        <v>38</v>
      </c>
      <c r="S4" s="11" t="s">
        <v>37</v>
      </c>
      <c r="T4" s="11" t="s">
        <v>38</v>
      </c>
      <c r="U4" s="11" t="s">
        <v>42</v>
      </c>
      <c r="V4" s="11" t="s">
        <v>38</v>
      </c>
      <c r="W4" s="11" t="s">
        <v>56</v>
      </c>
      <c r="X4" s="11" t="s">
        <v>43</v>
      </c>
      <c r="Y4" s="10">
        <v>10</v>
      </c>
      <c r="Z4" s="11" t="s">
        <v>57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75" x14ac:dyDescent="0.25">
      <c r="A5" s="9"/>
      <c r="B5" s="9"/>
      <c r="C5" s="9" t="s">
        <v>33</v>
      </c>
      <c r="D5" s="9" t="s">
        <v>58</v>
      </c>
      <c r="E5" s="10">
        <v>8</v>
      </c>
      <c r="F5" s="11" t="s">
        <v>59</v>
      </c>
      <c r="G5" s="11" t="s">
        <v>60</v>
      </c>
      <c r="H5" s="11" t="s">
        <v>37</v>
      </c>
      <c r="I5" s="11" t="s">
        <v>38</v>
      </c>
      <c r="J5" s="11" t="s">
        <v>61</v>
      </c>
      <c r="K5" s="11" t="s">
        <v>62</v>
      </c>
      <c r="L5" s="10">
        <v>9</v>
      </c>
      <c r="M5" s="11" t="s">
        <v>37</v>
      </c>
      <c r="N5" s="11" t="s">
        <v>38</v>
      </c>
      <c r="O5" s="11" t="s">
        <v>63</v>
      </c>
      <c r="P5" s="10">
        <v>10</v>
      </c>
      <c r="Q5" s="11" t="s">
        <v>37</v>
      </c>
      <c r="R5" s="11" t="s">
        <v>38</v>
      </c>
      <c r="S5" s="11" t="s">
        <v>37</v>
      </c>
      <c r="T5" s="11" t="s">
        <v>38</v>
      </c>
      <c r="U5" s="11" t="s">
        <v>42</v>
      </c>
      <c r="V5" s="11" t="s">
        <v>38</v>
      </c>
      <c r="W5" s="11" t="s">
        <v>64</v>
      </c>
      <c r="X5" s="11" t="s">
        <v>65</v>
      </c>
      <c r="Y5" s="10">
        <v>10</v>
      </c>
      <c r="Z5" s="11" t="s">
        <v>66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120" x14ac:dyDescent="0.25">
      <c r="A6" s="9"/>
      <c r="B6" s="9"/>
      <c r="C6" s="9" t="s">
        <v>33</v>
      </c>
      <c r="D6" s="9" t="s">
        <v>67</v>
      </c>
      <c r="E6" s="10">
        <v>8</v>
      </c>
      <c r="F6" s="11" t="s">
        <v>68</v>
      </c>
      <c r="G6" s="11" t="s">
        <v>69</v>
      </c>
      <c r="H6" s="11" t="s">
        <v>37</v>
      </c>
      <c r="I6" s="11" t="s">
        <v>38</v>
      </c>
      <c r="J6" s="11" t="s">
        <v>70</v>
      </c>
      <c r="K6" s="11" t="s">
        <v>71</v>
      </c>
      <c r="L6" s="10">
        <v>6</v>
      </c>
      <c r="M6" s="11" t="s">
        <v>42</v>
      </c>
      <c r="N6" s="11" t="s">
        <v>72</v>
      </c>
      <c r="O6" s="11" t="s">
        <v>72</v>
      </c>
      <c r="P6" s="10">
        <v>8</v>
      </c>
      <c r="Q6" s="11" t="s">
        <v>37</v>
      </c>
      <c r="R6" s="11" t="s">
        <v>38</v>
      </c>
      <c r="S6" s="11" t="s">
        <v>37</v>
      </c>
      <c r="T6" s="11" t="s">
        <v>38</v>
      </c>
      <c r="U6" s="11" t="s">
        <v>42</v>
      </c>
      <c r="V6" s="11" t="s">
        <v>38</v>
      </c>
      <c r="W6" s="11" t="s">
        <v>73</v>
      </c>
      <c r="X6" s="11" t="s">
        <v>43</v>
      </c>
      <c r="Y6" s="10">
        <v>10</v>
      </c>
      <c r="Z6" s="11" t="s">
        <v>74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105" x14ac:dyDescent="0.25">
      <c r="A7" s="9"/>
      <c r="B7" s="9"/>
      <c r="C7" s="9" t="s">
        <v>75</v>
      </c>
      <c r="D7" s="9" t="s">
        <v>76</v>
      </c>
      <c r="E7" s="10">
        <v>10</v>
      </c>
      <c r="F7" s="11" t="s">
        <v>77</v>
      </c>
      <c r="G7" s="11" t="s">
        <v>78</v>
      </c>
      <c r="H7" s="11" t="s">
        <v>37</v>
      </c>
      <c r="I7" s="11" t="s">
        <v>38</v>
      </c>
      <c r="J7" s="11" t="s">
        <v>79</v>
      </c>
      <c r="K7" s="11" t="s">
        <v>80</v>
      </c>
      <c r="L7" s="10">
        <v>10</v>
      </c>
      <c r="M7" s="11" t="s">
        <v>37</v>
      </c>
      <c r="N7" s="11" t="s">
        <v>38</v>
      </c>
      <c r="O7" s="11" t="s">
        <v>81</v>
      </c>
      <c r="P7" s="10">
        <v>10</v>
      </c>
      <c r="Q7" s="11" t="s">
        <v>37</v>
      </c>
      <c r="R7" s="11" t="s">
        <v>38</v>
      </c>
      <c r="S7" s="11" t="s">
        <v>37</v>
      </c>
      <c r="T7" s="11" t="s">
        <v>38</v>
      </c>
      <c r="U7" s="11" t="s">
        <v>42</v>
      </c>
      <c r="V7" s="11" t="s">
        <v>38</v>
      </c>
      <c r="W7" s="11" t="s">
        <v>82</v>
      </c>
      <c r="X7" s="11" t="s">
        <v>65</v>
      </c>
      <c r="Y7" s="10">
        <v>10</v>
      </c>
      <c r="Z7" s="11" t="s">
        <v>83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45" x14ac:dyDescent="0.25">
      <c r="A8" s="9"/>
      <c r="B8" s="9"/>
      <c r="C8" s="9" t="s">
        <v>75</v>
      </c>
      <c r="D8" s="9" t="s">
        <v>84</v>
      </c>
      <c r="E8" s="10">
        <v>10</v>
      </c>
      <c r="F8" s="11" t="s">
        <v>85</v>
      </c>
      <c r="G8" s="11" t="s">
        <v>86</v>
      </c>
      <c r="H8" s="11" t="s">
        <v>37</v>
      </c>
      <c r="I8" s="11" t="s">
        <v>38</v>
      </c>
      <c r="J8" s="11" t="s">
        <v>87</v>
      </c>
      <c r="K8" s="11" t="s">
        <v>40</v>
      </c>
      <c r="L8" s="10">
        <v>5</v>
      </c>
      <c r="M8" s="11" t="s">
        <v>37</v>
      </c>
      <c r="N8" s="11" t="s">
        <v>38</v>
      </c>
      <c r="O8" s="11" t="s">
        <v>88</v>
      </c>
      <c r="P8" s="10">
        <v>10</v>
      </c>
      <c r="Q8" s="11" t="s">
        <v>37</v>
      </c>
      <c r="R8" s="11" t="s">
        <v>38</v>
      </c>
      <c r="S8" s="11" t="s">
        <v>37</v>
      </c>
      <c r="T8" s="11" t="s">
        <v>38</v>
      </c>
      <c r="U8" s="11" t="s">
        <v>42</v>
      </c>
      <c r="V8" s="11" t="s">
        <v>38</v>
      </c>
      <c r="W8" s="11" t="s">
        <v>40</v>
      </c>
      <c r="X8" s="11" t="s">
        <v>43</v>
      </c>
      <c r="Y8" s="10">
        <v>10</v>
      </c>
      <c r="Z8" s="11" t="s">
        <v>89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75" x14ac:dyDescent="0.25">
      <c r="A9" s="9"/>
      <c r="B9" s="9"/>
      <c r="C9" s="9" t="s">
        <v>90</v>
      </c>
      <c r="D9" s="9" t="s">
        <v>91</v>
      </c>
      <c r="E9" s="10">
        <v>10</v>
      </c>
      <c r="F9" s="11" t="s">
        <v>92</v>
      </c>
      <c r="G9" s="11" t="s">
        <v>93</v>
      </c>
      <c r="H9" s="11" t="s">
        <v>37</v>
      </c>
      <c r="I9" s="11" t="s">
        <v>38</v>
      </c>
      <c r="J9" s="11" t="s">
        <v>38</v>
      </c>
      <c r="K9" s="11" t="s">
        <v>38</v>
      </c>
      <c r="L9" s="10">
        <v>10</v>
      </c>
      <c r="M9" s="11" t="s">
        <v>37</v>
      </c>
      <c r="N9" s="11" t="s">
        <v>38</v>
      </c>
      <c r="O9" s="11" t="s">
        <v>38</v>
      </c>
      <c r="P9" s="10">
        <v>10</v>
      </c>
      <c r="Q9" s="11" t="s">
        <v>37</v>
      </c>
      <c r="R9" s="11" t="s">
        <v>38</v>
      </c>
      <c r="S9" s="11" t="s">
        <v>37</v>
      </c>
      <c r="T9" s="11" t="s">
        <v>38</v>
      </c>
      <c r="U9" s="11" t="s">
        <v>42</v>
      </c>
      <c r="V9" s="11" t="s">
        <v>38</v>
      </c>
      <c r="W9" s="11" t="s">
        <v>38</v>
      </c>
      <c r="X9" s="11" t="s">
        <v>43</v>
      </c>
      <c r="Y9" s="10">
        <v>10</v>
      </c>
      <c r="Z9" s="11" t="s">
        <v>38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x14ac:dyDescent="0.25">
      <c r="A10" s="1"/>
      <c r="B10" s="1"/>
      <c r="C10" s="1"/>
      <c r="D10" s="1"/>
      <c r="F10" s="1"/>
      <c r="G10" s="1"/>
      <c r="H10" s="1"/>
      <c r="I10" s="1"/>
      <c r="J10" s="1"/>
      <c r="K10" s="1"/>
      <c r="M10" s="1"/>
      <c r="N10" s="1"/>
      <c r="O10" s="1"/>
      <c r="Q10" s="1"/>
      <c r="R10" s="1"/>
      <c r="S10" s="1"/>
      <c r="T10" s="1"/>
      <c r="U10" s="1"/>
      <c r="V10" s="1"/>
      <c r="W10" s="1"/>
      <c r="X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x14ac:dyDescent="0.25">
      <c r="A11" s="1"/>
      <c r="B11" s="1"/>
      <c r="C11" s="1"/>
      <c r="D11" s="1"/>
      <c r="F11" s="1"/>
      <c r="G11" s="1"/>
      <c r="H11" s="1"/>
      <c r="I11" s="1"/>
      <c r="J11" s="1"/>
      <c r="K11" s="1"/>
      <c r="M11" s="1"/>
      <c r="N11" s="1"/>
      <c r="O11" s="1"/>
      <c r="Q11" s="1"/>
      <c r="R11" s="1"/>
      <c r="S11" s="1"/>
      <c r="T11" s="1"/>
      <c r="U11" s="1"/>
      <c r="V11" s="1"/>
      <c r="W11" s="1"/>
      <c r="X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x14ac:dyDescent="0.25">
      <c r="A12" s="1"/>
      <c r="B12" s="1"/>
      <c r="C12" s="1"/>
      <c r="D12" s="1"/>
      <c r="F12" s="1"/>
      <c r="G12" s="1"/>
      <c r="H12" s="1"/>
      <c r="I12" s="1"/>
      <c r="J12" s="1"/>
      <c r="K12" s="1"/>
      <c r="M12" s="1"/>
      <c r="N12" s="1"/>
      <c r="O12" s="1"/>
      <c r="Q12" s="1"/>
      <c r="R12" s="1"/>
      <c r="S12" s="1"/>
      <c r="T12" s="1"/>
      <c r="U12" s="1"/>
      <c r="V12" s="1"/>
      <c r="W12" s="1"/>
      <c r="X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x14ac:dyDescent="0.25">
      <c r="A13" s="1"/>
      <c r="B13" s="1"/>
      <c r="C13" s="1"/>
      <c r="D13" s="1"/>
      <c r="F13" s="1"/>
      <c r="G13" s="1"/>
      <c r="H13" s="1"/>
      <c r="I13" s="1"/>
      <c r="J13" s="1"/>
      <c r="K13" s="1"/>
      <c r="M13" s="1"/>
      <c r="N13" s="1"/>
      <c r="O13" s="1"/>
      <c r="Q13" s="1"/>
      <c r="R13" s="1"/>
      <c r="S13" s="1"/>
      <c r="T13" s="1"/>
      <c r="U13" s="1"/>
      <c r="V13" s="1"/>
      <c r="W13" s="1"/>
      <c r="X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x14ac:dyDescent="0.25">
      <c r="A14" s="1"/>
      <c r="B14" s="1"/>
      <c r="C14" s="1"/>
      <c r="D14" s="1"/>
      <c r="F14" s="1"/>
      <c r="G14" s="1"/>
      <c r="H14" s="1"/>
      <c r="I14" s="1"/>
      <c r="J14" s="1"/>
      <c r="K14" s="1"/>
      <c r="M14" s="1"/>
      <c r="N14" s="1"/>
      <c r="O14" s="1"/>
      <c r="Q14" s="1"/>
      <c r="R14" s="1"/>
      <c r="S14" s="1"/>
      <c r="T14" s="1"/>
      <c r="U14" s="1"/>
      <c r="V14" s="1"/>
      <c r="W14" s="1"/>
      <c r="X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x14ac:dyDescent="0.25">
      <c r="A15" s="1"/>
      <c r="B15" s="1"/>
      <c r="C15" s="1"/>
      <c r="D15" s="1"/>
      <c r="F15" s="1"/>
      <c r="G15" s="1"/>
      <c r="H15" s="1"/>
      <c r="I15" s="1"/>
      <c r="J15" s="1"/>
      <c r="K15" s="1"/>
      <c r="M15" s="1"/>
      <c r="N15" s="1"/>
      <c r="O15" s="1"/>
      <c r="Q15" s="1"/>
      <c r="R15" s="1"/>
      <c r="S15" s="1"/>
      <c r="T15" s="1"/>
      <c r="U15" s="1"/>
      <c r="V15" s="1"/>
      <c r="W15" s="1"/>
      <c r="X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x14ac:dyDescent="0.25">
      <c r="A16" s="1"/>
      <c r="B16" s="1"/>
      <c r="C16" s="1"/>
      <c r="D16" s="1"/>
      <c r="F16" s="1"/>
      <c r="G16" s="1"/>
      <c r="H16" s="1"/>
      <c r="I16" s="1"/>
      <c r="J16" s="1"/>
      <c r="K16" s="1"/>
      <c r="M16" s="1"/>
      <c r="N16" s="1"/>
      <c r="O16" s="1"/>
      <c r="Q16" s="1"/>
      <c r="R16" s="1"/>
      <c r="S16" s="1"/>
      <c r="T16" s="1"/>
      <c r="U16" s="1"/>
      <c r="V16" s="1"/>
      <c r="W16" s="1"/>
      <c r="X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x14ac:dyDescent="0.25">
      <c r="A17" s="1"/>
      <c r="B17" s="1"/>
      <c r="C17" s="1"/>
      <c r="D17" s="1"/>
      <c r="F17" s="1"/>
      <c r="G17" s="1"/>
      <c r="H17" s="1"/>
      <c r="I17" s="1"/>
      <c r="J17" s="1"/>
      <c r="K17" s="1"/>
      <c r="N17" s="1"/>
      <c r="O17" s="1"/>
      <c r="R17" s="1"/>
      <c r="T17" s="1"/>
      <c r="V17" s="1"/>
      <c r="W17" s="1"/>
      <c r="X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x14ac:dyDescent="0.25">
      <c r="A18" s="1"/>
      <c r="B18" s="1"/>
      <c r="C18" s="1"/>
      <c r="D18" s="1"/>
      <c r="F18" s="1"/>
      <c r="G18" s="1"/>
      <c r="H18" s="1"/>
      <c r="I18" s="1"/>
      <c r="J18" s="1"/>
      <c r="K18" s="1"/>
      <c r="N18" s="1"/>
      <c r="O18" s="1"/>
      <c r="R18" s="1"/>
      <c r="T18" s="1"/>
      <c r="V18" s="1"/>
      <c r="W18" s="1"/>
      <c r="X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25">
      <c r="A19" s="1"/>
      <c r="B19" s="1"/>
      <c r="C19" s="1"/>
      <c r="D19" s="1"/>
      <c r="F19" s="1"/>
      <c r="G19" s="1"/>
      <c r="H19" s="1"/>
      <c r="I19" s="1"/>
      <c r="J19" s="1"/>
      <c r="K19" s="1"/>
      <c r="N19" s="1"/>
      <c r="O19" s="1"/>
      <c r="R19" s="1"/>
      <c r="T19" s="1"/>
      <c r="V19" s="1"/>
      <c r="W19" s="1"/>
      <c r="X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x14ac:dyDescent="0.25">
      <c r="A20" s="1"/>
      <c r="B20" s="1"/>
      <c r="C20" s="1"/>
      <c r="D20" s="1"/>
      <c r="F20" s="1"/>
      <c r="G20" s="1"/>
      <c r="H20" s="1"/>
      <c r="I20" s="1"/>
      <c r="J20" s="1"/>
      <c r="K20" s="1"/>
      <c r="N20" s="1"/>
      <c r="O20" s="1"/>
      <c r="R20" s="1"/>
      <c r="T20" s="1"/>
      <c r="V20" s="1"/>
      <c r="W20" s="1"/>
      <c r="X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25">
      <c r="A21" s="1"/>
      <c r="B21" s="1"/>
      <c r="C21" s="1"/>
      <c r="D21" s="1"/>
      <c r="F21" s="1"/>
      <c r="G21" s="1"/>
      <c r="H21" s="1"/>
      <c r="I21" s="1"/>
      <c r="J21" s="1"/>
      <c r="K21" s="1"/>
      <c r="N21" s="1"/>
      <c r="O21" s="1"/>
      <c r="R21" s="1"/>
      <c r="T21" s="1"/>
      <c r="V21" s="1"/>
      <c r="W21" s="1"/>
      <c r="X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F22" s="1"/>
      <c r="G22" s="1"/>
      <c r="H22" s="1"/>
      <c r="I22" s="1"/>
      <c r="J22" s="1"/>
      <c r="K22" s="1"/>
      <c r="N22" s="1"/>
      <c r="O22" s="1"/>
      <c r="R22" s="1"/>
      <c r="T22" s="1"/>
      <c r="V22" s="1"/>
      <c r="W22" s="1"/>
      <c r="X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F23" s="1"/>
      <c r="G23" s="1"/>
      <c r="H23" s="1"/>
      <c r="I23" s="1"/>
      <c r="J23" s="1"/>
      <c r="K23" s="1"/>
      <c r="N23" s="1"/>
      <c r="O23" s="1"/>
      <c r="R23" s="1"/>
      <c r="T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F24" s="1"/>
      <c r="G24" s="1"/>
      <c r="H24" s="1"/>
      <c r="I24" s="1"/>
      <c r="J24" s="1"/>
      <c r="K24" s="1"/>
      <c r="N24" s="1"/>
      <c r="O24" s="1"/>
      <c r="R24" s="1"/>
      <c r="T24" s="1"/>
      <c r="V24" s="1"/>
      <c r="W24" s="1"/>
      <c r="X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</v>
      </c>
      <c r="C4" s="8">
        <f>AVERAGE('Исходные данные (итог. анкета)'!L:L)</f>
        <v>8.125</v>
      </c>
      <c r="D4" s="8">
        <f>AVERAGE('Исходные данные (итог. анкета)'!P:P)</f>
        <v>9.375</v>
      </c>
      <c r="E4" s="7">
        <f>COUNTIF('Исходные данные (итог. анкета)'!U:U,"нет")/COUNTA('Исходные данные (итог. анкета)'!U2:U499)</f>
        <v>1</v>
      </c>
      <c r="F4" s="8">
        <f>AVERAGE('Исходные данные (итог. анкета)'!Y:Y)</f>
        <v>9.625</v>
      </c>
      <c r="G4" s="4">
        <f>AVERAGE(B4:D4,F4)</f>
        <v>9.03125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2026-07-01T10:13:24Z</dcterms:modified>
</cp:coreProperties>
</file>