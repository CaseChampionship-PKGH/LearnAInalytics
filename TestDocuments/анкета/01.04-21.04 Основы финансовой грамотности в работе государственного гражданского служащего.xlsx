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<sst xmlns="http://schemas.openxmlformats.org/spreadsheetml/2006/main" count="493" uniqueCount="194">
  <si>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</si>
  <si>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</si>
  <si>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</si>
  <si>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</si>
  <si>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</si>
  <si>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</si>
  <si>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</si>
  <si>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</si>
  <si>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</si>
  <si>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</si>
  <si>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</si>
  <si>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</si>
  <si>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</si>
  <si>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</si>
  <si>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</si>
  <si>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</si>
  <si>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</si>
  <si>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</si>
  <si>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</si>
  <si>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</si>
  <si>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</si>
  <si>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</si>
  <si>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</si>
  <si>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</si>
  <si>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</si>
  <si>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</si>
  <si>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</si>
  <si>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</si>
  <si>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</si>
  <si>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</si>
  <si>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</si>
  <si>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</si>
  <si>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</si>
  <si>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</si>
  <si>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</si>
  <si>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</si>
  <si>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Для общего развития</t>
  </si>
  <si>
    <t>Было интересно пройти этот курс</t>
  </si>
  <si>
    <t>В задачи структурного подразделения входят вопросы финансового просвещения жителей</t>
  </si>
  <si>
    <t>Для финансовой грамотности</t>
  </si>
  <si>
    <t>Интересна данная тема</t>
  </si>
  <si>
    <t>Повышение уровня знаний</t>
  </si>
  <si>
    <t>интересно</t>
  </si>
  <si>
    <t>Заинтересовала эта тема для повышения собственной финансовой грамотности</t>
  </si>
  <si>
    <t>Актуальная информация для ГГС</t>
  </si>
  <si>
    <t>Важная тема в нашей время</t>
  </si>
  <si>
    <t>Интересно</t>
  </si>
  <si>
    <t>повышение квалификации</t>
  </si>
  <si>
    <t>для повышения финансовой грамотности</t>
  </si>
  <si>
    <t>Заинтересовала финансовая грамотность</t>
  </si>
  <si>
    <t>Решила повысить уровень финансовой грамотности</t>
  </si>
  <si>
    <t>понравилась тема</t>
  </si>
  <si>
    <t>Повышение финансовой грамотности в условиях экономической непредсказуемости</t>
  </si>
  <si>
    <t>Для личного и профессионального развития</t>
  </si>
  <si>
    <t>по решению руководства</t>
  </si>
  <si>
    <t>для повышения уровня финансовой грамотности, улучшения знаний в сфере финансов</t>
  </si>
  <si>
    <t>Повысить финансовую грамотность</t>
  </si>
  <si>
    <t>Повышение уровня профессиональных знаний, навыков</t>
  </si>
  <si>
    <t>для приобретения знаний, которых  мне  было недостаточно в области финансовой грамотности</t>
  </si>
  <si>
    <t>налоговая и пенсионная система, инвестирование</t>
  </si>
  <si>
    <t>расчет пенсий</t>
  </si>
  <si>
    <t>да</t>
  </si>
  <si>
    <t>-</t>
  </si>
  <si>
    <t>все полезны</t>
  </si>
  <si>
    <t>Инвестиции, брокерский счёт. Очень интересно куда можно вложить деньги более выгодно</t>
  </si>
  <si>
    <t>В своей деятельности применить не смогу, но для себя лично узнала много интересного</t>
  </si>
  <si>
    <t>Никаких</t>
  </si>
  <si>
    <t>Инвестиции в акции и облигации, ИИС - мало было информации, хотелось бы больше</t>
  </si>
  <si>
    <t>Налогообложение и инвестирование, потому что много подводных камней, легче разбираться со срециалистом</t>
  </si>
  <si>
    <t>Все знания применимы в профессиональной деятельности в части информирования жителей</t>
  </si>
  <si>
    <t>таких нет</t>
  </si>
  <si>
    <t>необходимо увеличить время разбора крупных и сложных тем (налогообложения, финансовых рисков, инвестирования и т.д.)</t>
  </si>
  <si>
    <t>Финансовое поведение</t>
  </si>
  <si>
    <t>Все</t>
  </si>
  <si>
    <t>Все актуально</t>
  </si>
  <si>
    <t>Все вопросы были актуальны</t>
  </si>
  <si>
    <t>все вопросы интересные и актуальные</t>
  </si>
  <si>
    <t>все</t>
  </si>
  <si>
    <t>никакие</t>
  </si>
  <si>
    <t>не знаю</t>
  </si>
  <si>
    <t>Брокерские счета, ИИС, налогообложение</t>
  </si>
  <si>
    <t>Более эффективная информационная работа по повышению финансовой грамотности населения</t>
  </si>
  <si>
    <t>.</t>
  </si>
  <si>
    <t>Работа МФЦ.
Но не спикер, спикер - прекрасный. Очень интересно слушать про личные цели и финансы</t>
  </si>
  <si>
    <t>Больше про брокерские счета, сложный процент, технику накопления на долгосрочные цели</t>
  </si>
  <si>
    <t>Инвестирование</t>
  </si>
  <si>
    <t>все знания полезны</t>
  </si>
  <si>
    <t>все темы нужные</t>
  </si>
  <si>
    <t>программа очень хорошая</t>
  </si>
  <si>
    <t>Инвестирование, получение доп.дохода, служба финансового уполномоченного.</t>
  </si>
  <si>
    <t>преумножение дохода от основной деятельности</t>
  </si>
  <si>
    <t>Все важно и нужно</t>
  </si>
  <si>
    <t>еще больше про инвестирование</t>
  </si>
  <si>
    <t>Налогообложение</t>
  </si>
  <si>
    <t>налогообложение</t>
  </si>
  <si>
    <t>Соцзащиту</t>
  </si>
  <si>
    <t>Инвестирование подробнее</t>
  </si>
  <si>
    <t>материал про безопасность, полезные ссылки и телефоны</t>
  </si>
  <si>
    <t>сложно ответить</t>
  </si>
  <si>
    <t>---</t>
  </si>
  <si>
    <t>все темы интересны</t>
  </si>
  <si>
    <t>финансовые риски, налогообложение</t>
  </si>
  <si>
    <t>защита от мошенников</t>
  </si>
  <si>
    <t>социальное обеспечение</t>
  </si>
  <si>
    <t>всего достаточно</t>
  </si>
  <si>
    <t>Все вопросы были очень актуальны, все очень понравилось</t>
  </si>
  <si>
    <t>Все знания и умения буду применять в своей деятельности.</t>
  </si>
  <si>
    <t>все темы были актуальны.</t>
  </si>
  <si>
    <t>Для усиления можно ИИС и ПДС</t>
  </si>
  <si>
    <t>Вопросы в области налогооблажения</t>
  </si>
  <si>
    <t>Все навыки мне пригодятся в работе и личной жизни</t>
  </si>
  <si>
    <t>все вопросы очень актуальны</t>
  </si>
  <si>
    <t>после получения заработной платы эффективно ее распределю</t>
  </si>
  <si>
    <t>Никакие. Все темы очень полезны</t>
  </si>
  <si>
    <t>данная программа полезна и актуальна</t>
  </si>
  <si>
    <t>Вопросы инвестирования</t>
  </si>
  <si>
    <t>смогу информировать граждан о способах улучшения финансового положения</t>
  </si>
  <si>
    <t>Объяснения понятия инфляция, стагнация, ключевая ставка, каким образом она регулируется и регулируется ли? Поднятия вопроса вкладов и ОФЗ при высокой ключевой ставке</t>
  </si>
  <si>
    <t>Обучающие программы для разных категорий граждан и механизмы накопления и сбережения средств</t>
  </si>
  <si>
    <t>Планирование бюджета</t>
  </si>
  <si>
    <t>ежегодная актуализация в соответствии с изменениями законодательства</t>
  </si>
  <si>
    <t>все вопросы актуальны</t>
  </si>
  <si>
    <t>нет, но смогу в жизни</t>
  </si>
  <si>
    <t>тему пенсии</t>
  </si>
  <si>
    <t>добавить практики по существующим темам</t>
  </si>
  <si>
    <t>вопросы связанные с банковской системой, управления рисками</t>
  </si>
  <si>
    <t>умение планировать свой личный и семейный бюджет</t>
  </si>
  <si>
    <t>программа достаточно полная, на мой взгляд, исключать вопросы не требуется</t>
  </si>
  <si>
    <t>более подробно раскрыть тему инвестирования</t>
  </si>
  <si>
    <t>Все знания применимы в моей деятельности</t>
  </si>
  <si>
    <t>Все вопросы при данной теме обучения актуальны</t>
  </si>
  <si>
    <t>Всего достаточно</t>
  </si>
  <si>
    <t>знакомство с институтом финансового уполномоченного</t>
  </si>
  <si>
    <t>вопросы инвестирования, планирования бюджета, программы долгосрочных сбережений</t>
  </si>
  <si>
    <t>увеличить часы по вопросам финансового уполномоченного</t>
  </si>
  <si>
    <t>вопросы, касающиеся  социального обеспечения населения Данные  вопросы для меня наиболее актуальны по роду работы</t>
  </si>
  <si>
    <t>Проведение разъяснительной работы по вопросам ответственного поведения</t>
  </si>
  <si>
    <t>-----------</t>
  </si>
  <si>
    <t>Интересны и познавательны все  темы, исключение  какой-то из них не требуется</t>
  </si>
  <si>
    <t>предложения отсутствуют.</t>
  </si>
  <si>
    <t>ничего, всё интересно, по больше бы про инвестиции</t>
  </si>
  <si>
    <t>ничего</t>
  </si>
  <si>
    <t>все понравилось</t>
  </si>
  <si>
    <t>----</t>
  </si>
  <si>
    <t>Все устроило</t>
  </si>
  <si>
    <t>ничего. Все продумано</t>
  </si>
  <si>
    <t>Ничего</t>
  </si>
  <si>
    <t>------------------</t>
  </si>
  <si>
    <t>нет</t>
  </si>
  <si>
    <t>смешанное обучение: частично очно, частично дистанционно</t>
  </si>
  <si>
    <t>Ну мне хотелось больше про сами инвестиционные инструменты, куда можно вложить деньги, брокерский счёт, ИИС</t>
  </si>
  <si>
    <t>очное обучение в аудиториях Корпоративного университета</t>
  </si>
  <si>
    <t>тестовые задания для закрепления результатов онлайн (перед темой занятия, а придя на занятие по теме - задать вопросы лектору, уже погрузившись в тему)</t>
  </si>
  <si>
    <t>--</t>
  </si>
  <si>
    <t>она была на высоте</t>
  </si>
  <si>
    <t>Иногда была информация начального уровня, которая уже была известна</t>
  </si>
  <si>
    <t>Все хорошо</t>
  </si>
  <si>
    <t>предложение инновационных решений</t>
  </si>
  <si>
    <t>затрудняюсь ответить</t>
  </si>
  <si>
    <t>учеба в дневное время</t>
  </si>
  <si>
    <t>интересная подача материала</t>
  </si>
  <si>
    <t>весь процесс был очень интересен.</t>
  </si>
  <si>
    <t>Как молодому специалисту было тяжело слушать постоянное повторения темы негосударственных пенсионных фондов</t>
  </si>
  <si>
    <t>Прохладительные напитки</t>
  </si>
  <si>
    <t>преподаватели отлично справлялись с вовлечением</t>
  </si>
  <si>
    <t>увеличение практических заданий</t>
  </si>
  <si>
    <t>Может быть побольше разбора конкретных жизненных ситуаций</t>
  </si>
  <si>
    <t>обучение с отрывом от гражданской службы</t>
  </si>
  <si>
    <t>-----------------------------------</t>
  </si>
  <si>
    <t>--------------------------</t>
  </si>
  <si>
    <t>-------------------------</t>
  </si>
  <si>
    <t>Интересная подача материала лектором</t>
  </si>
  <si>
    <t>Спасибо за знания!</t>
  </si>
  <si>
    <t>Отличная команда, на все вопросы отвечают быстро и по делу</t>
  </si>
  <si>
    <t>Куратор быстро и четко отвечает на возникающие вопросы</t>
  </si>
  <si>
    <t>ОЧЕНЬ ПОНРАВИЛОСЬ</t>
  </si>
  <si>
    <t>Прекрасное обучение</t>
  </si>
  <si>
    <t>Занятия были интересными и полезными</t>
  </si>
  <si>
    <t>отлично</t>
  </si>
  <si>
    <t>Прекрасная программа. Актуальная. Все эксперты  понравились.</t>
  </si>
  <si>
    <t>организация на высоте</t>
  </si>
  <si>
    <t>все хорошо</t>
  </si>
  <si>
    <t>-----</t>
  </si>
  <si>
    <t>обучение в группе более увлекательно</t>
  </si>
  <si>
    <t>Отличная командная работа!!!</t>
  </si>
  <si>
    <t>Весь материал очень доступен, понятен. Огромное спасибо преподавателям.</t>
  </si>
  <si>
    <t>Отличная команда</t>
  </si>
  <si>
    <t>Все супер!</t>
  </si>
  <si>
    <t>Своевременная рассылка информации</t>
  </si>
  <si>
    <t>Большое спасибо за данный курс! Всем преподавателям отдельная благодарность за насыщенные и полезные занятия! Материал интересный и можно применять на практике. 
Хотелось бы добавить побольше практики. Реальные кейсы и жизненный опыт потрясающих лекторов - это очень ценно.</t>
  </si>
  <si>
    <t>была возможность получить ответы на интересующие вопросы</t>
  </si>
  <si>
    <t>Все отлично организовано.</t>
  </si>
  <si>
    <t>взаимодействие с командой было эффективным</t>
  </si>
  <si>
    <t>Полное взаимодействие с командой за все время обучения по  всем вопросам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</si>
</sst>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0" zoomScaleNormal="70" workbookViewId="0">
      <selection activeCell="A2" sqref="A2:B24"/>
    </sheetView>
  </sheetViews>
  <sheetFormatPr defaultRowHeight="15" x14ac:dyDescent="0.25"/>
  <cols>
    <col min="1" max="1" width="22.28515625" customWidth="1"/>
    <col min="2" max="2" width="25.85546875" customWidth="1"/>
    <col min="3" max="3" width="13.5703125" customWidth="1"/>
    <col min="4" max="4" width="22.42578125" customWidth="1"/>
    <col min="5" max="5" width="15.85546875" customWidth="1"/>
    <col min="6" max="6" width="28.28515625" customWidth="1"/>
    <col min="7" max="7" width="27.28515625" customWidth="1"/>
    <col min="8" max="8" width="10.5703125" customWidth="1"/>
    <col min="9" max="9" width="8.7109375" customWidth="1"/>
    <col min="10" max="10" width="26.5703125" customWidth="1"/>
    <col min="11" max="11" width="27" customWidth="1"/>
    <col min="12" max="12" width="16.5703125" customWidth="1"/>
    <col min="13" max="13" width="11.85546875" customWidth="1"/>
    <col min="14" max="14" width="7.28515625" customWidth="1"/>
    <col min="15" max="15" width="12.140625" customWidth="1"/>
    <col min="16" max="16" width="11.5703125" customWidth="1"/>
    <col min="17" max="17" width="10" customWidth="1"/>
    <col min="18" max="18" width="9" customWidth="1"/>
    <col min="19" max="19" width="8.85546875" customWidth="1"/>
    <col min="20" max="20" width="10.5703125" customWidth="1"/>
    <col min="21" max="21" width="8.5703125" customWidth="1"/>
    <col min="22" max="22" width="11.140625" customWidth="1"/>
    <col min="23" max="23" width="24" customWidth="1"/>
    <col min="24" max="24" width="24.28515625" customWidth="1"/>
    <col min="25" max="25" width="12.285156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x14ac:dyDescent="0.25">
      <c r="A2" s="9"/>
      <c r="B2" s="9"/>
      <c r="C2" s="9" t="s">
        <v>33</v>
      </c>
      <c r="D2" s="9" t="s">
        <v>36</v>
      </c>
      <c r="E2" s="12">
        <v>7</v>
      </c>
      <c r="F2" s="13" t="s">
        <v>59</v>
      </c>
      <c r="G2" s="13" t="s">
        <v>60</v>
      </c>
      <c r="H2" s="13" t="s">
        <v>61</v>
      </c>
      <c r="I2" s="13" t="s">
        <v>62</v>
      </c>
      <c r="J2" s="13" t="s">
        <v>63</v>
      </c>
      <c r="K2" s="13" t="s">
        <v>62</v>
      </c>
      <c r="L2" s="12">
        <v>10</v>
      </c>
      <c r="M2" s="13" t="s">
        <v>61</v>
      </c>
      <c r="N2" s="13" t="s">
        <v>62</v>
      </c>
      <c r="O2" s="13" t="s">
        <v>62</v>
      </c>
      <c r="P2" s="11">
        <v>10</v>
      </c>
      <c r="Q2" s="9" t="s">
        <v>61</v>
      </c>
      <c r="R2" s="9" t="s">
        <v>62</v>
      </c>
      <c r="S2" s="9" t="s">
        <v>61</v>
      </c>
      <c r="T2" s="9" t="s">
        <v>62</v>
      </c>
      <c r="U2" s="9" t="s">
        <v>148</v>
      </c>
      <c r="V2" s="9" t="s">
        <v>62</v>
      </c>
      <c r="W2" s="9" t="s">
        <v>62</v>
      </c>
      <c r="X2" s="9" t="s">
        <v>149</v>
      </c>
      <c r="Y2" s="10">
        <v>10</v>
      </c>
      <c r="Z2" s="9" t="s">
        <v>172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x14ac:dyDescent="0.25">
      <c r="A3" s="9"/>
      <c r="B3" s="9"/>
      <c r="C3" s="9" t="s">
        <v>33</v>
      </c>
      <c r="D3" s="9" t="s">
        <v>37</v>
      </c>
      <c r="E3" s="12">
        <v>5</v>
      </c>
      <c r="F3" s="13" t="s">
        <v>64</v>
      </c>
      <c r="G3" s="13" t="s">
        <v>65</v>
      </c>
      <c r="H3" s="13" t="s">
        <v>61</v>
      </c>
      <c r="I3" s="13" t="s">
        <v>62</v>
      </c>
      <c r="J3" s="13" t="s">
        <v>66</v>
      </c>
      <c r="K3" s="13" t="s">
        <v>67</v>
      </c>
      <c r="L3" s="12">
        <v>10</v>
      </c>
      <c r="M3" s="13" t="s">
        <v>61</v>
      </c>
      <c r="N3" s="13" t="s">
        <v>62</v>
      </c>
      <c r="O3" s="13" t="s">
        <v>140</v>
      </c>
      <c r="P3" s="11">
        <v>10</v>
      </c>
      <c r="Q3" s="9" t="s">
        <v>61</v>
      </c>
      <c r="R3" s="9" t="s">
        <v>62</v>
      </c>
      <c r="S3" s="9" t="s">
        <v>61</v>
      </c>
      <c r="T3" s="9" t="s">
        <v>62</v>
      </c>
      <c r="U3" s="9" t="s">
        <v>148</v>
      </c>
      <c r="V3" s="9" t="s">
        <v>62</v>
      </c>
      <c r="W3" s="9" t="s">
        <v>150</v>
      </c>
      <c r="X3" s="9" t="s">
        <v>151</v>
      </c>
      <c r="Y3" s="10">
        <v>10</v>
      </c>
      <c r="Z3" s="9" t="s">
        <v>173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x14ac:dyDescent="0.25">
      <c r="A4" s="9"/>
      <c r="B4" s="9"/>
      <c r="C4" s="9" t="s">
        <v>33</v>
      </c>
      <c r="D4" s="9" t="s">
        <v>38</v>
      </c>
      <c r="E4" s="12">
        <v>10</v>
      </c>
      <c r="F4" s="13" t="s">
        <v>68</v>
      </c>
      <c r="G4" s="13" t="s">
        <v>69</v>
      </c>
      <c r="H4" s="13" t="s">
        <v>61</v>
      </c>
      <c r="I4" s="13" t="s">
        <v>62</v>
      </c>
      <c r="J4" s="13" t="s">
        <v>70</v>
      </c>
      <c r="K4" s="13" t="s">
        <v>71</v>
      </c>
      <c r="L4" s="12">
        <v>4</v>
      </c>
      <c r="M4" s="13" t="s">
        <v>61</v>
      </c>
      <c r="N4" s="13" t="s">
        <v>62</v>
      </c>
      <c r="O4" s="13" t="s">
        <v>62</v>
      </c>
      <c r="P4" s="11">
        <v>10</v>
      </c>
      <c r="Q4" s="9" t="s">
        <v>61</v>
      </c>
      <c r="R4" s="9" t="s">
        <v>62</v>
      </c>
      <c r="S4" s="9" t="s">
        <v>61</v>
      </c>
      <c r="T4" s="9" t="s">
        <v>62</v>
      </c>
      <c r="U4" s="9" t="s">
        <v>148</v>
      </c>
      <c r="V4" s="9" t="s">
        <v>62</v>
      </c>
      <c r="W4" s="9" t="s">
        <v>152</v>
      </c>
      <c r="X4" s="9" t="s">
        <v>151</v>
      </c>
      <c r="Y4" s="10">
        <v>10</v>
      </c>
      <c r="Z4" s="9" t="s">
        <v>174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x14ac:dyDescent="0.25">
      <c r="A5" s="9"/>
      <c r="B5" s="9"/>
      <c r="C5" s="9" t="s">
        <v>34</v>
      </c>
      <c r="D5" s="9" t="s">
        <v>39</v>
      </c>
      <c r="E5" s="12">
        <v>10</v>
      </c>
      <c r="F5" s="13" t="s">
        <v>72</v>
      </c>
      <c r="G5" s="13" t="s">
        <v>73</v>
      </c>
      <c r="H5" s="13" t="s">
        <v>61</v>
      </c>
      <c r="I5" s="13" t="s">
        <v>62</v>
      </c>
      <c r="J5" s="13" t="s">
        <v>62</v>
      </c>
      <c r="K5" s="13" t="s">
        <v>62</v>
      </c>
      <c r="L5" s="12">
        <v>10</v>
      </c>
      <c r="M5" s="13" t="s">
        <v>61</v>
      </c>
      <c r="N5" s="13" t="s">
        <v>62</v>
      </c>
      <c r="O5" s="13" t="s">
        <v>141</v>
      </c>
      <c r="P5" s="11">
        <v>10</v>
      </c>
      <c r="Q5" s="9" t="s">
        <v>61</v>
      </c>
      <c r="R5" s="9" t="s">
        <v>62</v>
      </c>
      <c r="S5" s="9" t="s">
        <v>61</v>
      </c>
      <c r="T5" s="9" t="s">
        <v>62</v>
      </c>
      <c r="U5" s="9" t="s">
        <v>148</v>
      </c>
      <c r="V5" s="9" t="s">
        <v>153</v>
      </c>
      <c r="W5" s="9" t="s">
        <v>62</v>
      </c>
      <c r="X5" s="9" t="s">
        <v>149</v>
      </c>
      <c r="Y5" s="10">
        <v>10</v>
      </c>
      <c r="Z5" s="9" t="s">
        <v>175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x14ac:dyDescent="0.25">
      <c r="A6" s="9"/>
      <c r="B6" s="9"/>
      <c r="C6" s="9" t="s">
        <v>33</v>
      </c>
      <c r="D6" s="9" t="s">
        <v>40</v>
      </c>
      <c r="E6" s="12">
        <v>8</v>
      </c>
      <c r="F6" s="13" t="s">
        <v>73</v>
      </c>
      <c r="G6" s="13" t="s">
        <v>73</v>
      </c>
      <c r="H6" s="13" t="s">
        <v>61</v>
      </c>
      <c r="I6" s="13" t="s">
        <v>62</v>
      </c>
      <c r="J6" s="13" t="s">
        <v>74</v>
      </c>
      <c r="K6" s="13" t="s">
        <v>62</v>
      </c>
      <c r="L6" s="12">
        <v>10</v>
      </c>
      <c r="M6" s="13" t="s">
        <v>61</v>
      </c>
      <c r="N6" s="13" t="s">
        <v>62</v>
      </c>
      <c r="O6" s="13" t="s">
        <v>62</v>
      </c>
      <c r="P6" s="11">
        <v>10</v>
      </c>
      <c r="Q6" s="9" t="s">
        <v>61</v>
      </c>
      <c r="R6" s="9" t="s">
        <v>62</v>
      </c>
      <c r="S6" s="9" t="s">
        <v>61</v>
      </c>
      <c r="T6" s="9" t="s">
        <v>62</v>
      </c>
      <c r="U6" s="9" t="s">
        <v>148</v>
      </c>
      <c r="V6" s="9" t="s">
        <v>62</v>
      </c>
      <c r="W6" s="9" t="s">
        <v>62</v>
      </c>
      <c r="X6" s="9" t="s">
        <v>151</v>
      </c>
      <c r="Y6" s="10">
        <v>10</v>
      </c>
      <c r="Z6" s="9" t="s">
        <v>176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x14ac:dyDescent="0.25">
      <c r="A7" s="9"/>
      <c r="B7" s="9"/>
      <c r="C7" s="9" t="s">
        <v>33</v>
      </c>
      <c r="D7" s="9" t="s">
        <v>41</v>
      </c>
      <c r="E7" s="12">
        <v>10</v>
      </c>
      <c r="F7" s="13" t="s">
        <v>75</v>
      </c>
      <c r="G7" s="13" t="s">
        <v>62</v>
      </c>
      <c r="H7" s="13" t="s">
        <v>61</v>
      </c>
      <c r="I7" s="13" t="s">
        <v>62</v>
      </c>
      <c r="J7" s="13" t="s">
        <v>62</v>
      </c>
      <c r="K7" s="13" t="s">
        <v>62</v>
      </c>
      <c r="L7" s="12">
        <v>10</v>
      </c>
      <c r="M7" s="13" t="s">
        <v>61</v>
      </c>
      <c r="N7" s="13" t="s">
        <v>62</v>
      </c>
      <c r="O7" s="13" t="s">
        <v>62</v>
      </c>
      <c r="P7" s="11">
        <v>10</v>
      </c>
      <c r="Q7" s="9" t="s">
        <v>61</v>
      </c>
      <c r="R7" s="9" t="s">
        <v>62</v>
      </c>
      <c r="S7" s="9" t="s">
        <v>61</v>
      </c>
      <c r="T7" s="9" t="s">
        <v>62</v>
      </c>
      <c r="U7" s="9" t="s">
        <v>148</v>
      </c>
      <c r="V7" s="9" t="s">
        <v>62</v>
      </c>
      <c r="W7" s="9" t="s">
        <v>62</v>
      </c>
      <c r="X7" s="9" t="s">
        <v>151</v>
      </c>
      <c r="Y7" s="10">
        <v>10</v>
      </c>
      <c r="Z7" s="9" t="s">
        <v>177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x14ac:dyDescent="0.25">
      <c r="A8" s="9"/>
      <c r="B8" s="9"/>
      <c r="C8" s="9" t="s">
        <v>33</v>
      </c>
      <c r="D8" s="9" t="s">
        <v>42</v>
      </c>
      <c r="E8" s="12">
        <v>8</v>
      </c>
      <c r="F8" s="13" t="s">
        <v>76</v>
      </c>
      <c r="G8" s="13" t="s">
        <v>77</v>
      </c>
      <c r="H8" s="13" t="s">
        <v>61</v>
      </c>
      <c r="I8" s="13" t="s">
        <v>61</v>
      </c>
      <c r="J8" s="13" t="s">
        <v>78</v>
      </c>
      <c r="K8" s="13" t="s">
        <v>79</v>
      </c>
      <c r="L8" s="12">
        <v>9</v>
      </c>
      <c r="M8" s="13" t="s">
        <v>61</v>
      </c>
      <c r="N8" s="13" t="s">
        <v>61</v>
      </c>
      <c r="O8" s="13" t="s">
        <v>79</v>
      </c>
      <c r="P8" s="11">
        <v>10</v>
      </c>
      <c r="Q8" s="9" t="s">
        <v>61</v>
      </c>
      <c r="R8" s="9" t="s">
        <v>61</v>
      </c>
      <c r="S8" s="9" t="s">
        <v>61</v>
      </c>
      <c r="T8" s="9" t="s">
        <v>61</v>
      </c>
      <c r="U8" s="9" t="s">
        <v>148</v>
      </c>
      <c r="V8" s="9" t="s">
        <v>148</v>
      </c>
      <c r="W8" s="9" t="s">
        <v>154</v>
      </c>
      <c r="X8" s="9" t="s">
        <v>151</v>
      </c>
      <c r="Y8" s="10">
        <v>9</v>
      </c>
      <c r="Z8" s="9" t="s">
        <v>178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x14ac:dyDescent="0.25">
      <c r="A9" s="9"/>
      <c r="B9" s="9"/>
      <c r="C9" s="9" t="s">
        <v>33</v>
      </c>
      <c r="D9" s="9" t="s">
        <v>43</v>
      </c>
      <c r="E9" s="12">
        <v>8</v>
      </c>
      <c r="F9" s="13" t="s">
        <v>80</v>
      </c>
      <c r="G9" s="13" t="s">
        <v>81</v>
      </c>
      <c r="H9" s="13" t="s">
        <v>61</v>
      </c>
      <c r="I9" s="13" t="s">
        <v>82</v>
      </c>
      <c r="J9" s="13" t="s">
        <v>83</v>
      </c>
      <c r="K9" s="13" t="s">
        <v>84</v>
      </c>
      <c r="L9" s="12">
        <v>7</v>
      </c>
      <c r="M9" s="13" t="s">
        <v>61</v>
      </c>
      <c r="N9" s="13" t="s">
        <v>82</v>
      </c>
      <c r="O9" s="13" t="s">
        <v>82</v>
      </c>
      <c r="P9" s="11">
        <v>10</v>
      </c>
      <c r="Q9" s="9" t="s">
        <v>61</v>
      </c>
      <c r="R9" s="9" t="s">
        <v>82</v>
      </c>
      <c r="S9" s="9" t="s">
        <v>61</v>
      </c>
      <c r="T9" s="9" t="s">
        <v>82</v>
      </c>
      <c r="U9" s="9" t="s">
        <v>61</v>
      </c>
      <c r="V9" s="9" t="s">
        <v>155</v>
      </c>
      <c r="W9" s="9" t="s">
        <v>156</v>
      </c>
      <c r="X9" s="9" t="s">
        <v>149</v>
      </c>
      <c r="Y9" s="10">
        <v>10</v>
      </c>
      <c r="Z9" s="9" t="s">
        <v>156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25">
      <c r="A10" s="9"/>
      <c r="B10" s="9"/>
      <c r="C10" s="9" t="s">
        <v>33</v>
      </c>
      <c r="D10" s="9" t="s">
        <v>44</v>
      </c>
      <c r="E10" s="12">
        <v>8</v>
      </c>
      <c r="F10" s="13" t="s">
        <v>85</v>
      </c>
      <c r="G10" s="13" t="s">
        <v>86</v>
      </c>
      <c r="H10" s="13" t="s">
        <v>61</v>
      </c>
      <c r="I10" s="13" t="s">
        <v>62</v>
      </c>
      <c r="J10" s="13" t="s">
        <v>87</v>
      </c>
      <c r="K10" s="13" t="s">
        <v>88</v>
      </c>
      <c r="L10" s="12">
        <v>10</v>
      </c>
      <c r="M10" s="13" t="s">
        <v>61</v>
      </c>
      <c r="N10" s="13" t="s">
        <v>62</v>
      </c>
      <c r="O10" s="13" t="s">
        <v>62</v>
      </c>
      <c r="P10" s="11">
        <v>10</v>
      </c>
      <c r="Q10" s="9" t="s">
        <v>61</v>
      </c>
      <c r="R10" s="9" t="s">
        <v>62</v>
      </c>
      <c r="S10" s="9" t="s">
        <v>61</v>
      </c>
      <c r="T10" s="9" t="s">
        <v>62</v>
      </c>
      <c r="U10" s="9" t="s">
        <v>148</v>
      </c>
      <c r="V10" s="9" t="s">
        <v>62</v>
      </c>
      <c r="W10" s="9" t="s">
        <v>157</v>
      </c>
      <c r="X10" s="9" t="s">
        <v>149</v>
      </c>
      <c r="Y10" s="10">
        <v>10</v>
      </c>
      <c r="Z10" s="9" t="s">
        <v>179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25">
      <c r="A11" s="9"/>
      <c r="B11" s="9"/>
      <c r="C11" s="9" t="s">
        <v>34</v>
      </c>
      <c r="D11" s="9" t="s">
        <v>45</v>
      </c>
      <c r="E11" s="12">
        <v>10</v>
      </c>
      <c r="F11" s="13" t="s">
        <v>89</v>
      </c>
      <c r="G11" s="13" t="s">
        <v>90</v>
      </c>
      <c r="H11" s="13" t="s">
        <v>61</v>
      </c>
      <c r="I11" s="13" t="s">
        <v>62</v>
      </c>
      <c r="J11" s="13" t="s">
        <v>91</v>
      </c>
      <c r="K11" s="13" t="s">
        <v>92</v>
      </c>
      <c r="L11" s="12">
        <v>10</v>
      </c>
      <c r="M11" s="13" t="s">
        <v>61</v>
      </c>
      <c r="N11" s="13" t="s">
        <v>62</v>
      </c>
      <c r="O11" s="13" t="s">
        <v>142</v>
      </c>
      <c r="P11" s="11">
        <v>10</v>
      </c>
      <c r="Q11" s="9" t="s">
        <v>61</v>
      </c>
      <c r="R11" s="9" t="s">
        <v>62</v>
      </c>
      <c r="S11" s="9" t="s">
        <v>61</v>
      </c>
      <c r="T11" s="9" t="s">
        <v>62</v>
      </c>
      <c r="U11" s="9" t="s">
        <v>148</v>
      </c>
      <c r="V11" s="9" t="s">
        <v>62</v>
      </c>
      <c r="W11" s="9" t="s">
        <v>158</v>
      </c>
      <c r="X11" s="9" t="s">
        <v>151</v>
      </c>
      <c r="Y11" s="10">
        <v>10</v>
      </c>
      <c r="Z11" s="9" t="s">
        <v>180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9"/>
      <c r="B12" s="9"/>
      <c r="C12" s="9" t="s">
        <v>33</v>
      </c>
      <c r="D12" s="9" t="s">
        <v>46</v>
      </c>
      <c r="E12" s="12">
        <v>6</v>
      </c>
      <c r="F12" s="13" t="s">
        <v>93</v>
      </c>
      <c r="G12" s="13" t="s">
        <v>94</v>
      </c>
      <c r="H12" s="13" t="s">
        <v>61</v>
      </c>
      <c r="I12" s="13" t="s">
        <v>62</v>
      </c>
      <c r="J12" s="13" t="s">
        <v>95</v>
      </c>
      <c r="K12" s="13" t="s">
        <v>96</v>
      </c>
      <c r="L12" s="12">
        <v>5</v>
      </c>
      <c r="M12" s="13" t="s">
        <v>61</v>
      </c>
      <c r="N12" s="13" t="s">
        <v>62</v>
      </c>
      <c r="O12" s="13" t="s">
        <v>141</v>
      </c>
      <c r="P12" s="11">
        <v>10</v>
      </c>
      <c r="Q12" s="9" t="s">
        <v>61</v>
      </c>
      <c r="R12" s="9" t="s">
        <v>62</v>
      </c>
      <c r="S12" s="9" t="s">
        <v>61</v>
      </c>
      <c r="T12" s="9" t="s">
        <v>62</v>
      </c>
      <c r="U12" s="9" t="s">
        <v>148</v>
      </c>
      <c r="V12" s="9" t="s">
        <v>62</v>
      </c>
      <c r="W12" s="9" t="s">
        <v>159</v>
      </c>
      <c r="X12" s="9" t="s">
        <v>149</v>
      </c>
      <c r="Y12" s="10">
        <v>10</v>
      </c>
      <c r="Z12" s="9" t="s">
        <v>181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9"/>
      <c r="B13" s="9"/>
      <c r="C13" s="9" t="s">
        <v>35</v>
      </c>
      <c r="D13" s="9" t="s">
        <v>47</v>
      </c>
      <c r="E13" s="12">
        <v>8</v>
      </c>
      <c r="F13" s="13" t="s">
        <v>97</v>
      </c>
      <c r="G13" s="13" t="s">
        <v>98</v>
      </c>
      <c r="H13" s="13" t="s">
        <v>61</v>
      </c>
      <c r="I13" s="13" t="s">
        <v>99</v>
      </c>
      <c r="J13" s="13" t="s">
        <v>100</v>
      </c>
      <c r="K13" s="13" t="s">
        <v>98</v>
      </c>
      <c r="L13" s="12">
        <v>5</v>
      </c>
      <c r="M13" s="13" t="s">
        <v>61</v>
      </c>
      <c r="N13" s="13" t="s">
        <v>143</v>
      </c>
      <c r="O13" s="13" t="s">
        <v>98</v>
      </c>
      <c r="P13" s="11">
        <v>8</v>
      </c>
      <c r="Q13" s="9" t="s">
        <v>61</v>
      </c>
      <c r="R13" s="9" t="s">
        <v>143</v>
      </c>
      <c r="S13" s="9" t="s">
        <v>61</v>
      </c>
      <c r="T13" s="9" t="s">
        <v>143</v>
      </c>
      <c r="U13" s="9" t="s">
        <v>148</v>
      </c>
      <c r="V13" s="9" t="s">
        <v>143</v>
      </c>
      <c r="W13" s="9" t="s">
        <v>160</v>
      </c>
      <c r="X13" s="9" t="s">
        <v>149</v>
      </c>
      <c r="Y13" s="10">
        <v>10</v>
      </c>
      <c r="Z13" s="9" t="s">
        <v>182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9"/>
      <c r="B14" s="9"/>
      <c r="C14" s="9" t="s">
        <v>33</v>
      </c>
      <c r="D14" s="9" t="s">
        <v>48</v>
      </c>
      <c r="E14" s="12">
        <v>7</v>
      </c>
      <c r="F14" s="13" t="s">
        <v>101</v>
      </c>
      <c r="G14" s="13" t="s">
        <v>102</v>
      </c>
      <c r="H14" s="13" t="s">
        <v>61</v>
      </c>
      <c r="I14" s="13" t="s">
        <v>62</v>
      </c>
      <c r="J14" s="13" t="s">
        <v>103</v>
      </c>
      <c r="K14" s="13" t="s">
        <v>104</v>
      </c>
      <c r="L14" s="12">
        <v>4</v>
      </c>
      <c r="M14" s="13" t="s">
        <v>61</v>
      </c>
      <c r="N14" s="13" t="s">
        <v>62</v>
      </c>
      <c r="O14" s="13" t="s">
        <v>104</v>
      </c>
      <c r="P14" s="11">
        <v>10</v>
      </c>
      <c r="Q14" s="9" t="s">
        <v>61</v>
      </c>
      <c r="R14" s="9" t="s">
        <v>62</v>
      </c>
      <c r="S14" s="9" t="s">
        <v>61</v>
      </c>
      <c r="T14" s="9" t="s">
        <v>62</v>
      </c>
      <c r="U14" s="9" t="s">
        <v>148</v>
      </c>
      <c r="V14" s="9" t="s">
        <v>62</v>
      </c>
      <c r="W14" s="9" t="s">
        <v>104</v>
      </c>
      <c r="X14" s="9" t="s">
        <v>151</v>
      </c>
      <c r="Y14" s="10">
        <v>10</v>
      </c>
      <c r="Z14" s="9" t="s">
        <v>183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9"/>
      <c r="B15" s="9"/>
      <c r="C15" s="9" t="s">
        <v>33</v>
      </c>
      <c r="D15" s="9" t="s">
        <v>49</v>
      </c>
      <c r="E15" s="12">
        <v>10</v>
      </c>
      <c r="F15" s="13" t="s">
        <v>105</v>
      </c>
      <c r="G15" s="13" t="s">
        <v>106</v>
      </c>
      <c r="H15" s="13" t="s">
        <v>61</v>
      </c>
      <c r="I15" s="13" t="s">
        <v>62</v>
      </c>
      <c r="J15" s="13" t="s">
        <v>107</v>
      </c>
      <c r="K15" s="13" t="s">
        <v>108</v>
      </c>
      <c r="L15" s="12">
        <v>10</v>
      </c>
      <c r="M15" s="13" t="s">
        <v>61</v>
      </c>
      <c r="N15" s="13" t="s">
        <v>62</v>
      </c>
      <c r="O15" s="13" t="s">
        <v>144</v>
      </c>
      <c r="P15" s="11">
        <v>10</v>
      </c>
      <c r="Q15" s="9" t="s">
        <v>61</v>
      </c>
      <c r="R15" s="9" t="s">
        <v>62</v>
      </c>
      <c r="S15" s="9" t="s">
        <v>61</v>
      </c>
      <c r="T15" s="9" t="s">
        <v>62</v>
      </c>
      <c r="U15" s="9" t="s">
        <v>148</v>
      </c>
      <c r="V15" s="9" t="s">
        <v>62</v>
      </c>
      <c r="W15" s="9" t="s">
        <v>161</v>
      </c>
      <c r="X15" s="9" t="s">
        <v>151</v>
      </c>
      <c r="Y15" s="10">
        <v>10</v>
      </c>
      <c r="Z15" s="9" t="s">
        <v>184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9"/>
      <c r="B16" s="9"/>
      <c r="C16" s="9" t="s">
        <v>33</v>
      </c>
      <c r="D16" s="9" t="s">
        <v>50</v>
      </c>
      <c r="E16" s="12">
        <v>10</v>
      </c>
      <c r="F16" s="13" t="s">
        <v>109</v>
      </c>
      <c r="G16" s="13" t="s">
        <v>110</v>
      </c>
      <c r="H16" s="13" t="s">
        <v>61</v>
      </c>
      <c r="I16" s="13" t="s">
        <v>62</v>
      </c>
      <c r="J16" s="13" t="s">
        <v>78</v>
      </c>
      <c r="K16" s="13" t="s">
        <v>62</v>
      </c>
      <c r="L16" s="12">
        <v>10</v>
      </c>
      <c r="M16" s="13" t="s">
        <v>61</v>
      </c>
      <c r="N16" s="13" t="s">
        <v>62</v>
      </c>
      <c r="O16" s="13" t="s">
        <v>62</v>
      </c>
      <c r="P16" s="11">
        <v>10</v>
      </c>
      <c r="Q16" s="9" t="s">
        <v>61</v>
      </c>
      <c r="R16" s="9" t="s">
        <v>62</v>
      </c>
      <c r="S16" s="9" t="s">
        <v>61</v>
      </c>
      <c r="T16" s="9" t="s">
        <v>62</v>
      </c>
      <c r="U16" s="9" t="s">
        <v>148</v>
      </c>
      <c r="V16" s="9" t="s">
        <v>62</v>
      </c>
      <c r="W16" s="9" t="s">
        <v>62</v>
      </c>
      <c r="X16" s="9" t="s">
        <v>151</v>
      </c>
      <c r="Y16" s="10">
        <v>10</v>
      </c>
      <c r="Z16" s="9" t="s">
        <v>185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9"/>
      <c r="B17" s="9"/>
      <c r="C17" s="9" t="s">
        <v>33</v>
      </c>
      <c r="D17" s="9" t="s">
        <v>51</v>
      </c>
      <c r="E17" s="12">
        <v>10</v>
      </c>
      <c r="F17" s="13" t="s">
        <v>111</v>
      </c>
      <c r="G17" s="13" t="s">
        <v>112</v>
      </c>
      <c r="H17" s="13" t="s">
        <v>61</v>
      </c>
      <c r="I17" s="13" t="s">
        <v>62</v>
      </c>
      <c r="J17" s="13" t="s">
        <v>113</v>
      </c>
      <c r="K17" s="13" t="s">
        <v>114</v>
      </c>
      <c r="L17" s="12">
        <v>10</v>
      </c>
      <c r="M17" s="13" t="s">
        <v>61</v>
      </c>
      <c r="N17" s="13" t="s">
        <v>62</v>
      </c>
      <c r="O17" s="13" t="s">
        <v>145</v>
      </c>
      <c r="P17" s="11">
        <v>10</v>
      </c>
      <c r="Q17" s="9" t="s">
        <v>61</v>
      </c>
      <c r="R17" s="9" t="s">
        <v>62</v>
      </c>
      <c r="S17" s="9" t="s">
        <v>61</v>
      </c>
      <c r="T17" s="9" t="s">
        <v>62</v>
      </c>
      <c r="U17" s="9" t="s">
        <v>148</v>
      </c>
      <c r="V17" s="9" t="s">
        <v>62</v>
      </c>
      <c r="W17" s="9" t="s">
        <v>141</v>
      </c>
      <c r="X17" s="9" t="s">
        <v>151</v>
      </c>
      <c r="Y17" s="10">
        <v>10</v>
      </c>
      <c r="Z17" s="9" t="s">
        <v>186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9"/>
      <c r="B18" s="9"/>
      <c r="C18" s="9" t="s">
        <v>33</v>
      </c>
      <c r="D18" s="9" t="s">
        <v>52</v>
      </c>
      <c r="E18" s="12">
        <v>7</v>
      </c>
      <c r="F18" s="13" t="s">
        <v>115</v>
      </c>
      <c r="G18" s="13" t="s">
        <v>116</v>
      </c>
      <c r="H18" s="13" t="s">
        <v>61</v>
      </c>
      <c r="I18" s="13" t="s">
        <v>62</v>
      </c>
      <c r="J18" s="13" t="s">
        <v>62</v>
      </c>
      <c r="K18" s="13" t="s">
        <v>117</v>
      </c>
      <c r="L18" s="12">
        <v>10</v>
      </c>
      <c r="M18" s="13" t="s">
        <v>61</v>
      </c>
      <c r="N18" s="13" t="s">
        <v>62</v>
      </c>
      <c r="O18" s="13" t="s">
        <v>62</v>
      </c>
      <c r="P18" s="11">
        <v>10</v>
      </c>
      <c r="Q18" s="9" t="s">
        <v>61</v>
      </c>
      <c r="R18" s="9" t="s">
        <v>62</v>
      </c>
      <c r="S18" s="9" t="s">
        <v>61</v>
      </c>
      <c r="T18" s="9" t="s">
        <v>62</v>
      </c>
      <c r="U18" s="9" t="s">
        <v>61</v>
      </c>
      <c r="V18" s="9" t="s">
        <v>162</v>
      </c>
      <c r="W18" s="9" t="s">
        <v>163</v>
      </c>
      <c r="X18" s="9" t="s">
        <v>149</v>
      </c>
      <c r="Y18" s="10">
        <v>10</v>
      </c>
      <c r="Z18" s="9" t="s">
        <v>187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9"/>
      <c r="B19" s="9"/>
      <c r="C19" s="9" t="s">
        <v>33</v>
      </c>
      <c r="D19" s="9" t="s">
        <v>53</v>
      </c>
      <c r="E19" s="12">
        <v>9</v>
      </c>
      <c r="F19" s="13" t="s">
        <v>118</v>
      </c>
      <c r="G19" s="13" t="s">
        <v>119</v>
      </c>
      <c r="H19" s="13" t="s">
        <v>61</v>
      </c>
      <c r="I19" s="13" t="s">
        <v>62</v>
      </c>
      <c r="J19" s="13" t="s">
        <v>62</v>
      </c>
      <c r="K19" s="13" t="s">
        <v>120</v>
      </c>
      <c r="L19" s="12">
        <v>10</v>
      </c>
      <c r="M19" s="13" t="s">
        <v>61</v>
      </c>
      <c r="N19" s="13" t="s">
        <v>62</v>
      </c>
      <c r="O19" s="13" t="s">
        <v>62</v>
      </c>
      <c r="P19" s="11">
        <v>10</v>
      </c>
      <c r="Q19" s="9" t="s">
        <v>61</v>
      </c>
      <c r="R19" s="9" t="s">
        <v>62</v>
      </c>
      <c r="S19" s="9" t="s">
        <v>61</v>
      </c>
      <c r="T19" s="9" t="s">
        <v>62</v>
      </c>
      <c r="U19" s="9" t="s">
        <v>148</v>
      </c>
      <c r="V19" s="9" t="s">
        <v>62</v>
      </c>
      <c r="W19" s="9" t="s">
        <v>62</v>
      </c>
      <c r="X19" s="9" t="s">
        <v>151</v>
      </c>
      <c r="Y19" s="10">
        <v>10</v>
      </c>
      <c r="Z19" s="9" t="s">
        <v>188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9"/>
      <c r="B20" s="9"/>
      <c r="C20" s="9" t="s">
        <v>33</v>
      </c>
      <c r="D20" s="9" t="s">
        <v>54</v>
      </c>
      <c r="E20" s="12">
        <v>10</v>
      </c>
      <c r="F20" s="13" t="s">
        <v>121</v>
      </c>
      <c r="G20" s="13" t="s">
        <v>122</v>
      </c>
      <c r="H20" s="13" t="s">
        <v>61</v>
      </c>
      <c r="I20" s="13" t="s">
        <v>62</v>
      </c>
      <c r="J20" s="13" t="s">
        <v>123</v>
      </c>
      <c r="K20" s="13" t="s">
        <v>124</v>
      </c>
      <c r="L20" s="12">
        <v>9</v>
      </c>
      <c r="M20" s="13" t="s">
        <v>61</v>
      </c>
      <c r="N20" s="13" t="s">
        <v>62</v>
      </c>
      <c r="O20" s="13" t="s">
        <v>62</v>
      </c>
      <c r="P20" s="11">
        <v>10</v>
      </c>
      <c r="Q20" s="9" t="s">
        <v>61</v>
      </c>
      <c r="R20" s="9" t="s">
        <v>62</v>
      </c>
      <c r="S20" s="9" t="s">
        <v>61</v>
      </c>
      <c r="T20" s="9" t="s">
        <v>62</v>
      </c>
      <c r="U20" s="9" t="s">
        <v>148</v>
      </c>
      <c r="V20" s="9" t="s">
        <v>62</v>
      </c>
      <c r="W20" s="9" t="s">
        <v>164</v>
      </c>
      <c r="X20" s="9" t="s">
        <v>151</v>
      </c>
      <c r="Y20" s="10">
        <v>10</v>
      </c>
      <c r="Z20" s="9" t="s">
        <v>189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9"/>
      <c r="B21" s="9"/>
      <c r="C21" s="9" t="s">
        <v>34</v>
      </c>
      <c r="D21" s="9" t="s">
        <v>55</v>
      </c>
      <c r="E21" s="12">
        <v>9</v>
      </c>
      <c r="F21" s="13" t="s">
        <v>125</v>
      </c>
      <c r="G21" s="13" t="s">
        <v>126</v>
      </c>
      <c r="H21" s="13" t="s">
        <v>61</v>
      </c>
      <c r="I21" s="13" t="s">
        <v>62</v>
      </c>
      <c r="J21" s="13" t="s">
        <v>127</v>
      </c>
      <c r="K21" s="13" t="s">
        <v>128</v>
      </c>
      <c r="L21" s="12">
        <v>10</v>
      </c>
      <c r="M21" s="13" t="s">
        <v>61</v>
      </c>
      <c r="N21" s="13" t="s">
        <v>62</v>
      </c>
      <c r="O21" s="13" t="s">
        <v>141</v>
      </c>
      <c r="P21" s="11">
        <v>9</v>
      </c>
      <c r="Q21" s="9" t="s">
        <v>61</v>
      </c>
      <c r="R21" s="9" t="s">
        <v>62</v>
      </c>
      <c r="S21" s="9" t="s">
        <v>61</v>
      </c>
      <c r="T21" s="9" t="s">
        <v>62</v>
      </c>
      <c r="U21" s="9" t="s">
        <v>148</v>
      </c>
      <c r="V21" s="9" t="s">
        <v>62</v>
      </c>
      <c r="W21" s="9" t="s">
        <v>165</v>
      </c>
      <c r="X21" s="9" t="s">
        <v>151</v>
      </c>
      <c r="Y21" s="10">
        <v>10</v>
      </c>
      <c r="Z21" s="9" t="s">
        <v>190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9"/>
      <c r="B22" s="9"/>
      <c r="C22" s="9" t="s">
        <v>33</v>
      </c>
      <c r="D22" s="9" t="s">
        <v>56</v>
      </c>
      <c r="E22" s="12">
        <v>10</v>
      </c>
      <c r="F22" s="13" t="s">
        <v>75</v>
      </c>
      <c r="G22" s="13" t="s">
        <v>129</v>
      </c>
      <c r="H22" s="13" t="s">
        <v>61</v>
      </c>
      <c r="I22" s="13" t="s">
        <v>62</v>
      </c>
      <c r="J22" s="13" t="s">
        <v>130</v>
      </c>
      <c r="K22" s="13" t="s">
        <v>131</v>
      </c>
      <c r="L22" s="12">
        <v>10</v>
      </c>
      <c r="M22" s="13" t="s">
        <v>61</v>
      </c>
      <c r="N22" s="13" t="s">
        <v>62</v>
      </c>
      <c r="O22" s="13" t="s">
        <v>146</v>
      </c>
      <c r="P22" s="11">
        <v>10</v>
      </c>
      <c r="Q22" s="9" t="s">
        <v>61</v>
      </c>
      <c r="R22" s="9" t="s">
        <v>62</v>
      </c>
      <c r="S22" s="9" t="s">
        <v>61</v>
      </c>
      <c r="T22" s="9" t="s">
        <v>62</v>
      </c>
      <c r="U22" s="9" t="s">
        <v>148</v>
      </c>
      <c r="V22" s="9" t="s">
        <v>62</v>
      </c>
      <c r="W22" s="9" t="s">
        <v>166</v>
      </c>
      <c r="X22" s="9" t="s">
        <v>149</v>
      </c>
      <c r="Y22" s="10">
        <v>10</v>
      </c>
      <c r="Z22" s="9" t="s">
        <v>191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9"/>
      <c r="B23" s="9"/>
      <c r="C23" s="9" t="s">
        <v>33</v>
      </c>
      <c r="D23" s="9" t="s">
        <v>57</v>
      </c>
      <c r="E23" s="12">
        <v>10</v>
      </c>
      <c r="F23" s="13" t="s">
        <v>132</v>
      </c>
      <c r="G23" s="13" t="s">
        <v>133</v>
      </c>
      <c r="H23" s="13" t="s">
        <v>61</v>
      </c>
      <c r="I23" s="13" t="s">
        <v>62</v>
      </c>
      <c r="J23" s="13" t="s">
        <v>78</v>
      </c>
      <c r="K23" s="13" t="s">
        <v>134</v>
      </c>
      <c r="L23" s="12">
        <v>10</v>
      </c>
      <c r="M23" s="13" t="s">
        <v>61</v>
      </c>
      <c r="N23" s="13" t="s">
        <v>62</v>
      </c>
      <c r="O23" s="13" t="s">
        <v>141</v>
      </c>
      <c r="P23" s="11">
        <v>10</v>
      </c>
      <c r="Q23" s="9" t="s">
        <v>61</v>
      </c>
      <c r="R23" s="9" t="s">
        <v>62</v>
      </c>
      <c r="S23" s="9" t="s">
        <v>61</v>
      </c>
      <c r="T23" s="9" t="s">
        <v>62</v>
      </c>
      <c r="U23" s="9" t="s">
        <v>148</v>
      </c>
      <c r="V23" s="9" t="s">
        <v>62</v>
      </c>
      <c r="W23" s="9" t="s">
        <v>167</v>
      </c>
      <c r="X23" s="9" t="s">
        <v>149</v>
      </c>
      <c r="Y23" s="10">
        <v>10</v>
      </c>
      <c r="Z23" s="9" t="s">
        <v>192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9"/>
      <c r="B24" s="9"/>
      <c r="C24" s="9" t="s">
        <v>33</v>
      </c>
      <c r="D24" s="9" t="s">
        <v>58</v>
      </c>
      <c r="E24" s="12">
        <v>10</v>
      </c>
      <c r="F24" s="13" t="s">
        <v>135</v>
      </c>
      <c r="G24" s="13" t="s">
        <v>136</v>
      </c>
      <c r="H24" s="13" t="s">
        <v>61</v>
      </c>
      <c r="I24" s="13" t="s">
        <v>137</v>
      </c>
      <c r="J24" s="13" t="s">
        <v>138</v>
      </c>
      <c r="K24" s="13" t="s">
        <v>139</v>
      </c>
      <c r="L24" s="12">
        <v>5</v>
      </c>
      <c r="M24" s="13" t="s">
        <v>61</v>
      </c>
      <c r="N24" s="13" t="s">
        <v>147</v>
      </c>
      <c r="O24" s="13" t="s">
        <v>147</v>
      </c>
      <c r="P24" s="11">
        <v>10</v>
      </c>
      <c r="Q24" s="9" t="s">
        <v>61</v>
      </c>
      <c r="R24" s="9" t="s">
        <v>168</v>
      </c>
      <c r="S24" s="9" t="s">
        <v>61</v>
      </c>
      <c r="T24" s="9" t="s">
        <v>169</v>
      </c>
      <c r="U24" s="9" t="s">
        <v>148</v>
      </c>
      <c r="V24" s="9" t="s">
        <v>170</v>
      </c>
      <c r="W24" s="9" t="s">
        <v>171</v>
      </c>
      <c r="X24" s="9" t="s">
        <v>151</v>
      </c>
      <c r="Y24" s="10">
        <v>10</v>
      </c>
      <c r="Z24" s="9" t="s">
        <v>193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13" sqref="E13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4" t="s">
        <v>6</v>
      </c>
      <c r="C2" s="14"/>
      <c r="D2" s="14"/>
      <c r="E2" s="14"/>
      <c r="F2" s="14"/>
      <c r="G2" s="14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8.695652173913043</v>
      </c>
      <c r="C4" s="8">
        <f>AVERAGE('Исходные данные (итог. анкета)'!L:L)</f>
        <v>8.6086956521739122</v>
      </c>
      <c r="D4" s="8">
        <f>AVERAGE('Исходные данные (итог. анкета)'!P:P)</f>
        <v>9.8695652173913047</v>
      </c>
      <c r="E4" s="7">
        <f>COUNTIF('Исходные данные (итог. анкета)'!U:U,"нет")/COUNTA('Исходные данные (итог. анкета)'!U2:U499)</f>
        <v>0.91304347826086951</v>
      </c>
      <c r="F4" s="8">
        <f>AVERAGE('Исходные данные (итог. анкета)'!Y:Y)</f>
        <v>9.9565217391304355</v>
      </c>
      <c r="G4" s="4">
        <f>AVERAGE(B4:D4,F4)</f>
        <v>9.2826086956521738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2026-07-01T09:02:46Z</dcterms:modified>
</cp:coreProperties>
</file>