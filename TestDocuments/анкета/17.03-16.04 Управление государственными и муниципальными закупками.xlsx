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tarkhanova\Desktop\2026\анкета\"/>
    </mc:Choice>
  </mc:AlternateContent>
  <bookViews>
    <workbookView xWindow="0" yWindow="0" windowWidth="28800" windowHeight="12030"/>
  </bookViews>
  <sheets>
    <sheet name="Исходные данные (итог. анкета)" sheetId="1" r:id="rId1"/>
    <sheet name="Ключевые показатели" sheetId="2" r:id="rId2"/>
  </sheets>
  <definedNames>
    <definedName name="_xlnm._FilterDatabase" localSheetId="0" hidden="1">'Исходные данные (итог. анкета)'!$A$1:$Z$37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4" i="2" l="1"/>
  <c r="D4" i="2"/>
  <c r="C4" i="2"/>
  <c r="E4" i="2"/>
  <c r="B4" i="2" l="1"/>
  <c r="G4" i="2" l="1"/>
</calcChain>
</file>

<file path=xl/sharedStrings.xml><?xml version="1.0" encoding="utf-8"?>
<sst xmlns="http://schemas.openxmlformats.org/spreadsheetml/2006/main" count="853" uniqueCount="290">
  <si>
    <t>Полезность программы</t>
  </si>
  <si>
    <t>Практико-ориентированность программы</t>
  </si>
  <si>
    <t>Доступность материалов по программе</t>
  </si>
  <si>
    <t>Вовлечённость в образовательный процесс</t>
  </si>
  <si>
    <t>Общая оценка удовлетворённости</t>
  </si>
  <si>
    <t>Взаимодействие с командой КУ</t>
  </si>
  <si>
    <t>Количественные показатели по программе</t>
  </si>
  <si>
    <t>Ф.И.О.</t>
  </si>
  <si>
    <t>Укажите, пожалуйста, место Вашей работы.</t>
  </si>
  <si>
    <t>К какой категории относится Ваша должность?</t>
  </si>
  <si>
    <t>Прокомментируйте, пожалуйста, какие вопросы были для Вас наиболее актуальны и почему?</t>
  </si>
  <si>
    <t>Какие знания, умения и навыки, полученные на программе, Вы сможете применить в своей деятельности?</t>
  </si>
  <si>
    <t>Какие темы и (или) вопросы можно исключить из данной программы без потери полезности?</t>
  </si>
  <si>
    <t>Какими темами и (или) вопросами важно дополнить программу для усиления ее полезности и актуальности?</t>
  </si>
  <si>
    <t>Что бы Вы хотели изменить в организации практических занятий, чтобы они стали полезными для Вашей деятельности?</t>
  </si>
  <si>
    <t>Сохраняется ли правильная последовательность тем и логика изложения материала?</t>
  </si>
  <si>
    <t>Могли ли Вы на занятии задать интересующие Вас вопросы по изучаемой теме и получить исчерпывающие ответы?</t>
  </si>
  <si>
    <t>Что могло бы повысить Вашу вовлеченность в обучение?</t>
  </si>
  <si>
    <t xml:space="preserve">Если бы у Вас была возможность выбрать формат обучения по данной программе, какой бы Вы предпочли? </t>
  </si>
  <si>
    <t>Прокомментируйте, пожалуйста, Ваш выбор.</t>
  </si>
  <si>
    <r>
      <rPr>
        <b/>
        <sz val="11"/>
        <color theme="1"/>
        <rFont val="Calibri"/>
        <family val="2"/>
        <charset val="204"/>
        <scheme val="minor"/>
      </rPr>
      <t xml:space="preserve">Насколько программа обучения полезна для Вашей работы? </t>
    </r>
    <r>
      <rPr>
        <sz val="11"/>
        <color theme="1"/>
        <rFont val="Calibri"/>
        <family val="2"/>
        <charset val="204"/>
        <scheme val="minor"/>
      </rPr>
      <t xml:space="preserve">
</t>
    </r>
    <r>
      <rPr>
        <i/>
        <sz val="11"/>
        <color theme="1"/>
        <rFont val="Calibri"/>
        <family val="2"/>
        <charset val="204"/>
        <scheme val="minor"/>
      </rPr>
      <t xml:space="preserve">Оцените, пожалуйста, полезность программы по 10-балльной шкале, где 1 — программа совершенно бесполезна, 10 — программа очень полезна </t>
    </r>
  </si>
  <si>
    <r>
      <rPr>
        <b/>
        <sz val="11"/>
        <color theme="1"/>
        <rFont val="Calibri"/>
        <family val="2"/>
        <charset val="204"/>
        <scheme val="minor"/>
      </rPr>
      <t xml:space="preserve">Как Вы оцениваете практико-ориентированность программы? </t>
    </r>
    <r>
      <rPr>
        <sz val="11"/>
        <color theme="1"/>
        <rFont val="Calibri"/>
        <family val="2"/>
        <charset val="204"/>
        <scheme val="minor"/>
      </rPr>
      <t xml:space="preserve">
</t>
    </r>
    <r>
      <rPr>
        <i/>
        <sz val="11"/>
        <color theme="1"/>
        <rFont val="Calibri"/>
        <family val="2"/>
        <charset val="204"/>
        <scheme val="minor"/>
      </rPr>
      <t>Оцените, пожалуйста, практическую часть по 10-балльной шкале, где 1 — были лекции, практики почти не было, 10 — практических заданий и (или) примеров было достаточно.</t>
    </r>
  </si>
  <si>
    <r>
      <rPr>
        <b/>
        <sz val="11"/>
        <color theme="1"/>
        <rFont val="Calibri"/>
        <family val="2"/>
        <charset val="204"/>
        <scheme val="minor"/>
      </rPr>
      <t>Насколько Вы оцениваете доступность материала программы обучения?</t>
    </r>
    <r>
      <rPr>
        <sz val="11"/>
        <color theme="1"/>
        <rFont val="Calibri"/>
        <family val="2"/>
        <charset val="204"/>
        <scheme val="minor"/>
      </rPr>
      <t xml:space="preserve">
</t>
    </r>
    <r>
      <rPr>
        <i/>
        <sz val="11"/>
        <color theme="1"/>
        <rFont val="Calibri"/>
        <family val="2"/>
        <charset val="204"/>
        <scheme val="minor"/>
      </rPr>
      <t>Оцените, пожалуйста, доступность материала программы по 10-балльной шкале, где 1 — я с трудом понял (поняла), о чем идет речь; 10 — материал был предельно доступным и понятным.</t>
    </r>
  </si>
  <si>
    <r>
      <t xml:space="preserve">Насколько эффективным было взаимодействие с командой Корпоративного университета на протяжении всего периода обучения?
</t>
    </r>
    <r>
      <rPr>
        <i/>
        <sz val="11"/>
        <color theme="1"/>
        <rFont val="Calibri"/>
        <family val="2"/>
        <charset val="204"/>
        <scheme val="minor"/>
      </rPr>
      <t>Оцените, пожалуйста, взаимодействие по 10 — балльной шкале, где 1 — взаимодействие было неэффективным, 10 — это была отличная командная работа на результат!</t>
    </r>
  </si>
  <si>
    <t>Почему Вы решили пройти обучение по данной программе?</t>
  </si>
  <si>
    <t>Если нет, напишите, пожалуйста, почему? Если да, Вы можете поставить прочерк.</t>
  </si>
  <si>
    <t xml:space="preserve">Был ли достигнут ожидаемый эффект от обучения? </t>
  </si>
  <si>
    <t xml:space="preserve">Достаточно ли практических заданий, примеров, разборов ситуаций? </t>
  </si>
  <si>
    <t>Если нет, какие темы и (или) вопросы требуют большей практической отработки? Если да, Вы можете поставить прочерк.</t>
  </si>
  <si>
    <t xml:space="preserve"> Если нет, напишите, пожалуйста, в чем это заключается. Если да, Вы можете поставить прочерк.</t>
  </si>
  <si>
    <t>Если нет, напишите, пожалуйста, подробнее. Если да, Вы можете поставить прочерк.</t>
  </si>
  <si>
    <t>Если да, в какие моменты обучения они возникали? Если нет, Вы можете поставить прочерк.</t>
  </si>
  <si>
    <t xml:space="preserve">Чувствовали ли Вы свою отстраненность от процесса, потерю интереса во время обучения? </t>
  </si>
  <si>
    <t>специалист</t>
  </si>
  <si>
    <t>Расширение знаний в новых областях</t>
  </si>
  <si>
    <t>Особенности определения НМЦК</t>
  </si>
  <si>
    <t>Порядок определения НМЦК</t>
  </si>
  <si>
    <t>да</t>
  </si>
  <si>
    <t>-</t>
  </si>
  <si>
    <t>заменить отдельных лекторов</t>
  </si>
  <si>
    <t>нет</t>
  </si>
  <si>
    <t>построить программный курс отдельно для начинающих специалистов и опытных закупщиков</t>
  </si>
  <si>
    <t>очное обучение в аудиториях Корпоративного университета</t>
  </si>
  <si>
    <t>В целом все проходило в дружелюбной обстановке</t>
  </si>
  <si>
    <t/>
  </si>
  <si>
    <t>Для расширения знаний в области государственных закупок</t>
  </si>
  <si>
    <t>Все вопросы связанные с подготовкой извещения, формирования плана-графика, способами закупок, рассмотрения заявок участников. Эти знания необходимы в моей работе</t>
  </si>
  <si>
    <t>Все вопросы связанные с подготовкой извещения, формирования плана-графика, способами закупок, рассмотрения заявок участников.</t>
  </si>
  <si>
    <t>Все темы важны</t>
  </si>
  <si>
    <t>Больше практики (составление извещения, описание объекта закупки)</t>
  </si>
  <si>
    <t>Составление извещения, описание объекта закупки</t>
  </si>
  <si>
    <t>Провести полный цикл закупки разделившись на группы</t>
  </si>
  <si>
    <t>затрудняюсь ответить</t>
  </si>
  <si>
    <t>Все четко и понятно</t>
  </si>
  <si>
    <t>Повышение профессионального уровня  в рамках имеющейся квалификации</t>
  </si>
  <si>
    <t>Все вопросы были актуальны. 44-фз постоянно меняется и самому тяжело разобраться и досконально вникнуть в нововведения. В частности ПП1875.</t>
  </si>
  <si>
    <t>Почти все знания полученные на программе буду применять. Если бы материалы курса были бы в свободном доступе после прохождения это еще больше помогло бы в работе.</t>
  </si>
  <si>
    <t>Да но все же не все вопросы удалось запомнить нужно еще и еще раз возвращаться к материалам курса. Плохо что не все презентации преподаватели предоставили для дальнейшего использования.</t>
  </si>
  <si>
    <t>ни какие. все полезно.</t>
  </si>
  <si>
    <t>нужны практические задания с разбором. От составления обоснования НМЦК, формирование извещения, рассмотрение заявок, составление протоколов, работа в АИСГЗ и ЕИС.</t>
  </si>
  <si>
    <t>От составления обоснования НМЦК, описание объекта закупки, формирование извещения, рассмотрение заявок, составление протоколов, работа в АИСГЗ и ЕИС.</t>
  </si>
  <si>
    <t>Не делайте пожалуйста обучение в вечернее время. Такой большой курс должен быть с отрывом от работы.</t>
  </si>
  <si>
    <t>практическая работа</t>
  </si>
  <si>
    <t>смешанное обучение: частично очно, частично дистанционно</t>
  </si>
  <si>
    <t>куратор всегда была на связи и своевременно отвечала на вопросы</t>
  </si>
  <si>
    <t>Для повышения профессиональных компетенций</t>
  </si>
  <si>
    <t>Исполнение контрактов</t>
  </si>
  <si>
    <t>Знания об определении НМЦК</t>
  </si>
  <si>
    <t>Не могу ответить на данный вопрос</t>
  </si>
  <si>
    <t>Решение работодателя</t>
  </si>
  <si>
    <t>Вопросы, касающиеся определения НМЦК</t>
  </si>
  <si>
    <t>Не очень понравились лекции Белякова Дениса Борисовича</t>
  </si>
  <si>
    <t>полностью дистанционный формат обучения</t>
  </si>
  <si>
    <t>Плановое повышение квалификации</t>
  </si>
  <si>
    <t>Контроль, Электронный магазин. Много полезной информации от КГФК.</t>
  </si>
  <si>
    <t>Проведение игры с разделением например на Заказчиков и Поставщиков.</t>
  </si>
  <si>
    <t>Очные лекции всех преподавателей были интересными и информативными. Но если говорить о последовательности, то я бы лекции о контроле перенесла на самые последние дни. Когда уже вся основная программа пройдена. Т.к. если это начинающие заказчики, то многое для них было не так понятно, как для опытных. Только своей харизмой и желанием всех научить Лидия Анатольевна не давала им скатиться в скуку и непонимание материала)</t>
  </si>
  <si>
    <t>Если бы каждый преподаватель в очном формате проводил одно практическое занятие в формате игры, квеста,викторины и т.д.</t>
  </si>
  <si>
    <t>Вся информация поступал быстро, четко. Специалисты вежливые, всегда отвечали на все вопросы.</t>
  </si>
  <si>
    <t>обеспечивающий специалист</t>
  </si>
  <si>
    <t>Приобретение дополнительных профессиональных знаний в соответствии с утвержденным должностным регламентом и квалификационными требованиями</t>
  </si>
  <si>
    <t>Планирование и обоснование закупок. Правило описания объекта закупок. Составление технического задания. Контракты.</t>
  </si>
  <si>
    <t>Порядок заключения, исполнения, изменения и расторжения контра</t>
  </si>
  <si>
    <t>никакие</t>
  </si>
  <si>
    <t>Более полно раскрыть вопросы этапов заключения контрактов для новичков в этой профессиональной сфере.</t>
  </si>
  <si>
    <t>ничего</t>
  </si>
  <si>
    <t>Утреннее время проведения лекций</t>
  </si>
  <si>
    <t>Во возникшим вопросам в процессе обучения всегда были даны ответы.</t>
  </si>
  <si>
    <t>Требования законодательства повышать квалификацию не реже 1 раза в 3 года</t>
  </si>
  <si>
    <t>Нюансы закупок по национальному режиму</t>
  </si>
  <si>
    <t>Все вновь полученные знания, а также повторенная информация</t>
  </si>
  <si>
    <t>Я бы чуть уменьшил объем информации по ведомственому контролю. Всё-таки мы не контролеры. 
И добавил бы больше практических вопросов, обсуждений</t>
  </si>
  <si>
    <t>Сделать практическую лекцию по проведению закупки от планирования до заключения контракта, претензионной работы, приемки услуг по нескольким конкретным темам. Например, закупка охранных услуг, поставка товара по нац.режиму.
А также очень хотелось бы практическую лекцию по централизованным закупкам через КГЗ. Чтобы рассказали порядок действий на практи</t>
  </si>
  <si>
    <t>Сделать практическую лекцию по проведению закупки от планирования до заключения контракта, претензионной работы, приемки услуг по нескольким конкретным темам. Например, закупка охранных услуг, поставка товара по нац.режиму.
А также очень хотелось бы практическую лекцию по централизованным закупкам через КГЗ. Чтобы рассказали порядок действий на практике.</t>
  </si>
  <si>
    <t>Время проведения лекций сместить.
Начало лекций с 14.00 сделать.
После работы слушать лекции очень тяжело.</t>
  </si>
  <si>
    <t>Изменение времени обучения</t>
  </si>
  <si>
    <t>Нет предела совершенству</t>
  </si>
  <si>
    <t>являюсь членом закупочной комиссии</t>
  </si>
  <si>
    <t>разбор кейсов</t>
  </si>
  <si>
    <t>полномочия контрольных органов</t>
  </si>
  <si>
    <t>меньше теории в части цитирования ФЗ № 44, больше практического материала, разбора судебной практики и практики контрольных органов</t>
  </si>
  <si>
    <t>разбор судебной практики и практики контрольных органов</t>
  </si>
  <si>
    <t>Актуализация знаний</t>
  </si>
  <si>
    <t>Контроль в сфере закупок, описание объекта закупок</t>
  </si>
  <si>
    <t>Абсолютно все</t>
  </si>
  <si>
    <t>Прекрасная организация процесса обучения. Благодарю</t>
  </si>
  <si>
    <t>новые знания для работы</t>
  </si>
  <si>
    <t>Наиболее полезны были примеры преподавателей из практики и разборы конкретных ситуаций.</t>
  </si>
  <si>
    <t>вся информация была полезна.</t>
  </si>
  <si>
    <t>свежей практикой особенно по 1875</t>
  </si>
  <si>
    <t>во время лекций на платформе МТС были проблемы со связью.</t>
  </si>
  <si>
    <t>Нужная информация предоставлялась до появления вопросов.</t>
  </si>
  <si>
    <t>Каждые три года проходим обучение</t>
  </si>
  <si>
    <t>Подготовка описания объектов закупок 
И прочее</t>
  </si>
  <si>
    <t>Все</t>
  </si>
  <si>
    <t>Нет предложений</t>
  </si>
  <si>
    <t>Все рационально</t>
  </si>
  <si>
    <t>Больше практики</t>
  </si>
  <si>
    <t>Работа построена грамотно</t>
  </si>
  <si>
    <t>по решению руководителя</t>
  </si>
  <si>
    <t>все</t>
  </si>
  <si>
    <t>сократить часы по теме "контролирующие органы в сфере закупок"</t>
  </si>
  <si>
    <t>"монотонность" лектора</t>
  </si>
  <si>
    <t>интересная подача материала</t>
  </si>
  <si>
    <t>руководитель</t>
  </si>
  <si>
    <t>Для  решения  определённых профессиональных вопросов</t>
  </si>
  <si>
    <t>Внутренний государственный контроль</t>
  </si>
  <si>
    <t>Все знания, полученные в процессе обучения, применимы в моей деятельности</t>
  </si>
  <si>
    <t>Необходимо дополнить практические занятия (например, работа в системе АИСГЗ)</t>
  </si>
  <si>
    <t>работа в АИСГЗ</t>
  </si>
  <si>
    <t>ПРАКТИЧЕСКИЕ ЗАНЯТИЯ</t>
  </si>
  <si>
    <t>Повышение профессиональной компетентности</t>
  </si>
  <si>
    <t>Все вопросы актуальны</t>
  </si>
  <si>
    <t>Актуальные комментарии по применению законодательства</t>
  </si>
  <si>
    <t>Совершенствование компетенции для профессиональной служебной деятельности</t>
  </si>
  <si>
    <t>Аудит и контроль закупок, судебная практика, решения ФАС и прокуратуры</t>
  </si>
  <si>
    <t>Вся полученная информация</t>
  </si>
  <si>
    <t>-.</t>
  </si>
  <si>
    <t>Исключить первичные, общие и широко известные вопросы. Необходимо разделять группы слушателей по их опыту, компетенциям и знаниям.</t>
  </si>
  <si>
    <t>Аудит и контроль закупок, судебная практика, решения ФАС и прокуратуры. Актуальные примеры и решения.</t>
  </si>
  <si>
    <t>Разделить группы слушателей по их опыту, компетенциям и знаниям. Необходимо включить практические задания (актуальные, интересные) в электронную часть курса. П для скачивания  презентации всех спикеров/преподавателей.</t>
  </si>
  <si>
    <t>Не доступны для скачивания  презентации всех спикеров/преподавателей.</t>
  </si>
  <si>
    <t>При объяснении спикерами первичных, общих и широко известных вопросов.</t>
  </si>
  <si>
    <t>Исключение таких тем. Разделение групп слушателей по их опыту, компетенциям и знаниям. Доступность для скачивания  презентаций всех спикеров/преподавателей.</t>
  </si>
  <si>
    <t>Удовлетворительно. Но не доступны для скачивания  презентации всех спикеров/преподавателей.</t>
  </si>
  <si>
    <t>В целях профессиональной переподготовке</t>
  </si>
  <si>
    <t>Порядок осуществления правильной закупки в целях избежание нарушений.</t>
  </si>
  <si>
    <t>Не относящиеся к нашей деятельности</t>
  </si>
  <si>
    <t>Практическими советами</t>
  </si>
  <si>
    <t>Принятие выполненных работ (услуг)</t>
  </si>
  <si>
    <t>Судебная практика</t>
  </si>
  <si>
    <t>Практические советы</t>
  </si>
  <si>
    <t>Доброжелательность, понимание и отзывчивость.</t>
  </si>
  <si>
    <t>Повышение квалификации</t>
  </si>
  <si>
    <t>Все!</t>
  </si>
  <si>
    <t>Ничего не исключать</t>
  </si>
  <si>
    <t>Был направлен от отдела кадров.</t>
  </si>
  <si>
    <t>Поддержание необходимого уровня квалификации для исполнения служебных обязанностей</t>
  </si>
  <si>
    <t>Ситуационные задачи на предмет разграничения полномочий контрольных органов при осуществлении контроля за государственным заказом</t>
  </si>
  <si>
    <t>Особенности приемки товаров, работ, услуг в соответствии с 44-ФЗ.</t>
  </si>
  <si>
    <t>Все понравилось. Спасибо!</t>
  </si>
  <si>
    <t>для работы</t>
  </si>
  <si>
    <t>цикл закупки, получить знания о конкурсных процедурах</t>
  </si>
  <si>
    <t>основные этапы закупок</t>
  </si>
  <si>
    <t>слишком сложно, обучение для сотрудников, имеющих опыт закупок</t>
  </si>
  <si>
    <t>если для повышения квалификации, то оставить как есть</t>
  </si>
  <si>
    <t>все из-за отсутствия знаний и разного уровня подготовки слушателей</t>
  </si>
  <si>
    <t>один уровень подготовки у слушателей</t>
  </si>
  <si>
    <t>бывало и лучше</t>
  </si>
  <si>
    <t>Чтобы разбираться в подготовке документов для отдела закупок по отдыху и оздоровлению</t>
  </si>
  <si>
    <t>подготовка документов</t>
  </si>
  <si>
    <t>подготовка технического задания</t>
  </si>
  <si>
    <t>....</t>
  </si>
  <si>
    <t>все необходимо</t>
  </si>
  <si>
    <t>расширить практическую базу</t>
  </si>
  <si>
    <t>проработка технического задания</t>
  </si>
  <si>
    <t>более конкретные разборы</t>
  </si>
  <si>
    <t>разбор более конкретных задач</t>
  </si>
  <si>
    <t>Все четко,. много полезного, все доступно</t>
  </si>
  <si>
    <t>По направлению работодателя</t>
  </si>
  <si>
    <t>Вопросы, касающиеся государственных контрактов и проверок, проводимых уполномоченными органами. В связи со спецификой моей служебной деятельности.</t>
  </si>
  <si>
    <t>Знания об актуальных изменениях действующего законодательства</t>
  </si>
  <si>
    <t>Предложения отсутствуют</t>
  </si>
  <si>
    <t>Необходимая информация доводилась своевременно и в полном объеме</t>
  </si>
  <si>
    <t>В целях повышения квалификации (член комиссии)</t>
  </si>
  <si>
    <t>Рассмотрение заявок участников закупок (являюсь членом комиссии)</t>
  </si>
  <si>
    <t>Учебный материал полезный. Все</t>
  </si>
  <si>
    <t>повышение квалификации</t>
  </si>
  <si>
    <t>Виды контроля и принципы</t>
  </si>
  <si>
    <t>все хорошо</t>
  </si>
  <si>
    <t>повторяющиеся темы.</t>
  </si>
  <si>
    <t>Не очень удобно после рабочего дня сидеть на лекциях по 3 часа в вечернее время. 
Обучение должно быть с отрывом от производства в дневное время</t>
  </si>
  <si>
    <t>Необходимость подтверждения квалификации</t>
  </si>
  <si>
    <t>Необходимо было получить дополнительные знания.</t>
  </si>
  <si>
    <t>заключение, исполнение контракта
приемка</t>
  </si>
  <si>
    <t>особенно полезен был электронный курс, так как именно в нем освещен процесс закупочной деятельности</t>
  </si>
  <si>
    <t>выбрала ответ нет, так как результат достигнут частично</t>
  </si>
  <si>
    <t>очень большое количество часов посвящено контролю, можно уменьшить этот курс</t>
  </si>
  <si>
    <t>вопросы контроля можно освещать он-лайн, а вот вопросы исполнения контракта, способы определения поставщиков и т.п. необходимо озвучивать в очном формате</t>
  </si>
  <si>
    <t>Очень хочется, чтобы занятия проходили в служебное время. Вечерние занятия абсолютно не мотивируют на учебы.</t>
  </si>
  <si>
    <t>Направление сотрудника на обучение оформляется приказом исполнительного органа, поэтому желательно, чтобы обучение проходило в рабочее время.
Что называется "без ущерба" семье.</t>
  </si>
  <si>
    <t>Производственная необходимость</t>
  </si>
  <si>
    <t>Определение НМЦК</t>
  </si>
  <si>
    <t>Полученные в ходе обучения</t>
  </si>
  <si>
    <t>Никакие</t>
  </si>
  <si>
    <t>Практические ситуации</t>
  </si>
  <si>
    <t>Практика</t>
  </si>
  <si>
    <t>Очень эффективный курс обучения</t>
  </si>
  <si>
    <t>в качестве переподготовки</t>
  </si>
  <si>
    <t>описание объекта закупки</t>
  </si>
  <si>
    <t>на текущем месте работы не применимо</t>
  </si>
  <si>
    <t>куратор всегда на связи</t>
  </si>
  <si>
    <t>В целях получения новых профессиональных знаний.</t>
  </si>
  <si>
    <t>Так как управление закупками является для моей работы новым направлением, наиболее актуальными были сведения, составляющее основу закупочной деятельности.</t>
  </si>
  <si>
    <t>Информация об основах закупочной деятельности.</t>
  </si>
  <si>
    <t>Программа направлена на обучение лиц, осуществляющих профессиональную деятельность в  сфере закупок. Мне была необходима программа для новичков (сведения об основах закупочной деятельности приобрела исключительно из материала, размещенного на Учебном портале). Также три преподавателя представили идентичную программу по контролю в сфере закупок, были повторения. У одного преподавателя много информации, не содержащей конкретных сведений (много "воды"), а также много повторов об одном и том же.</t>
  </si>
  <si>
    <t>Предлагаю вопросы об осуществлении контроля в сфере закупок оставить только у одного из трех преподавателей.</t>
  </si>
  <si>
    <t>Сведениями об основах закупочной деятельности.</t>
  </si>
  <si>
    <t>Сначала нужна теоретическая часть, а потом практические занятия.</t>
  </si>
  <si>
    <t>Много практики и мало теории.</t>
  </si>
  <si>
    <t>При монотонной подаче материала. Также была отстраненность во время вынужденной уборки пыли с рабочего стола во время лекции.</t>
  </si>
  <si>
    <t>Интересная подача материала.</t>
  </si>
  <si>
    <t>Своевременное предоставление информации. Корректность в общении.</t>
  </si>
  <si>
    <t>согласование закупок подведомственных учреждений</t>
  </si>
  <si>
    <t>Закупка у единственного поставщика, описание объекта закупки, определение НМЦК</t>
  </si>
  <si>
    <t>исключить занятия в вечернее время</t>
  </si>
  <si>
    <t>обучение в дневное время</t>
  </si>
  <si>
    <t>Всегда есть обратная связь</t>
  </si>
  <si>
    <t>программа</t>
  </si>
  <si>
    <t>к</t>
  </si>
  <si>
    <t>не требуется-</t>
  </si>
  <si>
    <t>не требуется</t>
  </si>
  <si>
    <t>все удовлетворительно</t>
  </si>
  <si>
    <t>Сталкиваюсь по работе</t>
  </si>
  <si>
    <t>Исполнение контракта</t>
  </si>
  <si>
    <t>Особенности исполнения контракта</t>
  </si>
  <si>
    <t>Все темы интересные</t>
  </si>
  <si>
    <t>Больше примеров из практики по исполнению контрактов</t>
  </si>
  <si>
    <t>Больше практических занятий</t>
  </si>
  <si>
    <t>Отличный преподавательский состав</t>
  </si>
  <si>
    <t>соответствует деятельности</t>
  </si>
  <si>
    <t>основные ошибки, на которые обращают внимание контрольные органы, меры ответственности за допущенные ошибки + удалось разобрать несколько интересующих вопросов</t>
  </si>
  <si>
    <t>все нужно и все пригодится</t>
  </si>
  <si>
    <t>начинать их раньше по времени (сами занятия с 15:00, допустим), поскольку после раб. дня все усваивается хуже</t>
  </si>
  <si>
    <t>куратор всегда была на связи</t>
  </si>
  <si>
    <t>потребовалось по служебной необходимости</t>
  </si>
  <si>
    <t>в наших реалиях данный курс актуален полностью</t>
  </si>
  <si>
    <t>составление технической документации необходимой для проведения закупки (описание объекта закупки; характеристики товара, работ и тд)</t>
  </si>
  <si>
    <t>хороший курс</t>
  </si>
  <si>
    <t>все понравилось и в том числе блок с разборами кейсов</t>
  </si>
  <si>
    <t>поменять формат обучения, перевести на очное в дневное время (отрыв от производства)</t>
  </si>
  <si>
    <t>смена формата обучения</t>
  </si>
  <si>
    <t>профессиональный и индивидуальный подход</t>
  </si>
  <si>
    <t>Необходимо по работе</t>
  </si>
  <si>
    <t>Практические аспекты, новые тенденции по 44-ФЗ</t>
  </si>
  <si>
    <t>организация в сфере закупок</t>
  </si>
  <si>
    <t>Все хорошо</t>
  </si>
  <si>
    <t>Все отлично!</t>
  </si>
  <si>
    <t>Служебная необходимость.</t>
  </si>
  <si>
    <t>государственный контроль в сфере закупок</t>
  </si>
  <si>
    <t>направил работодатель</t>
  </si>
  <si>
    <t>нацрежим</t>
  </si>
  <si>
    <t>буду применять в работе</t>
  </si>
  <si>
    <t>больше про нововведения и изменения в 44-ФЗ</t>
  </si>
  <si>
    <t>советник (помощник)</t>
  </si>
  <si>
    <t>Про национальный режим в сфере закупок</t>
  </si>
  <si>
    <t>Все полученные знания</t>
  </si>
  <si>
    <t>Вопросы про контрактного управляющего</t>
  </si>
  <si>
    <t>Практическими кейсами по закупкам в Электронном магазине</t>
  </si>
  <si>
    <t>Ничего</t>
  </si>
  <si>
    <t>Разбор спорных ситуаций в закупках от действующего практика</t>
  </si>
  <si>
    <t>Обучение было познавательным и полезным</t>
  </si>
  <si>
    <t>никакими</t>
  </si>
  <si>
    <t>достаточно вовлечен</t>
  </si>
  <si>
    <t>Все понравилось</t>
  </si>
  <si>
    <t>Назначена членом комиссии по закупкам</t>
  </si>
  <si>
    <t>Основные функции должностных лиц заказчика, осуществляющие закупки, способы определения поставщиков, НМЦК, рассмотрение заявок участников закупок, особенности исполнения контракта.</t>
  </si>
  <si>
    <t>Все полученные знания очень важны.</t>
  </si>
  <si>
    <t>Все темы и обсуждаемые вопросы интересны.</t>
  </si>
  <si>
    <t>Хотелось бы предусмотреть при составлении программы учитывать разную степень подготовки и знаний обучаемых специалистов. Сделать курс для начинающих.</t>
  </si>
  <si>
    <t>Еще больше практических занятий.</t>
  </si>
  <si>
    <t>Всегда можно поучить подробные ответы на интересующие вопросы, четко организованный процесс обучения.</t>
  </si>
  <si>
    <t>Есть необходимость в работе</t>
  </si>
  <si>
    <t>Аудит в сфере закупок</t>
  </si>
  <si>
    <t>Все, что не веда Лидия Анатольевна требует практической доработки</t>
  </si>
  <si>
    <t>не хватает системного подхода к преподнесению материала другими преподавателями, и примеров</t>
  </si>
  <si>
    <t>У Лидии Анатольевны да, у других преподавателей ответы очень размытые</t>
  </si>
  <si>
    <t>Дистанционный формат , и преподаватель, который говорил очень невнятно и непонятно, читал с листка</t>
  </si>
  <si>
    <t>Схемы, примеры</t>
  </si>
  <si>
    <t>Куратор Наталья оперативно реагировала на все вопросы и просьбы.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</si>
</sst>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charset val="204"/>
      <scheme val="minor"/>
    </font>
    <font>
      <b/>
      <sz val="11"/>
      <color theme="1"/>
      <name val="Calibri"/>
      <family val="2"/>
      <charset val="204"/>
      <scheme val="minor"/>
    </font>
    <font>
      <i/>
      <sz val="11"/>
      <color theme="1"/>
      <name val="Calibri"/>
      <family val="2"/>
      <charset val="204"/>
      <scheme val="minor"/>
    </font>
  </fonts>
  <fills count="4">
    <fill>
      <patternFill patternType="none"/>
    </fill>
    <fill>
      <patternFill patternType="gray125"/>
    </fill>
    <fill>
      <patternFill patternType="solid">
        <fgColor theme="8"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0" xfId="0" applyAlignment="1">
      <alignment wrapText="1"/>
    </xf>
    <xf numFmtId="0" fontId="0" fillId="0" borderId="0" xfId="0" applyAlignment="1">
      <alignment vertical="center" wrapText="1"/>
    </xf>
    <xf numFmtId="0" fontId="0" fillId="2" borderId="1" xfId="0" applyFill="1" applyBorder="1" applyAlignment="1">
      <alignment horizontal="center" vertical="center" wrapText="1"/>
    </xf>
    <xf numFmtId="10" fontId="0" fillId="0" borderId="1" xfId="0" applyNumberFormat="1" applyBorder="1" applyAlignment="1">
      <alignment horizontal="center" vertical="center"/>
    </xf>
    <xf numFmtId="2" fontId="0" fillId="0" borderId="1" xfId="0" applyNumberFormat="1" applyBorder="1" applyAlignment="1">
      <alignment horizontal="center" vertical="center"/>
    </xf>
    <xf numFmtId="0" fontId="1" fillId="0" borderId="1" xfId="0" applyFont="1" applyBorder="1" applyAlignment="1">
      <alignment horizontal="left" vertical="top"/>
    </xf>
    <xf numFmtId="0" fontId="0" fillId="0" borderId="1" xfId="0" applyBorder="1" applyAlignment="1">
      <alignment horizontal="left" vertical="top"/>
    </xf>
    <xf numFmtId="0" fontId="0" fillId="0" borderId="0" xfId="0" applyAlignment="1"/>
    <xf numFmtId="0" fontId="0" fillId="3" borderId="0" xfId="0" applyFill="1" applyAlignment="1"/>
    <xf numFmtId="0" fontId="0" fillId="3" borderId="0" xfId="0" applyFill="1" applyAlignment="1">
      <alignment horizontal="center"/>
    </xf>
    <xf numFmtId="0" fontId="0" fillId="3" borderId="1" xfId="0" applyFill="1" applyBorder="1" applyAlignment="1">
      <alignment vertical="top"/>
    </xf>
    <xf numFmtId="0" fontId="0" fillId="3" borderId="1" xfId="0" applyNumberFormat="1" applyFill="1" applyBorder="1" applyAlignment="1">
      <alignment horizontal="center" vertical="top"/>
    </xf>
    <xf numFmtId="0" fontId="0" fillId="3" borderId="1" xfId="0" applyNumberFormat="1" applyFill="1" applyBorder="1" applyAlignment="1">
      <alignment vertical="top"/>
    </xf>
    <xf numFmtId="0" fontId="0" fillId="0" borderId="1" xfId="0" applyNumberFormat="1" applyFill="1" applyBorder="1" applyAlignment="1">
      <alignment horizontal="center" vertical="top"/>
    </xf>
    <xf numFmtId="0" fontId="0" fillId="0" borderId="1" xfId="0" applyFill="1" applyBorder="1" applyAlignment="1">
      <alignment vertical="top"/>
    </xf>
    <xf numFmtId="0" fontId="0" fillId="0" borderId="1" xfId="0" applyFill="1" applyBorder="1" applyAlignment="1">
      <alignment horizontal="center" vertical="top"/>
    </xf>
    <xf numFmtId="0" fontId="1" fillId="2" borderId="1"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3"/>
  <sheetViews>
    <sheetView tabSelected="1" zoomScale="70" zoomScaleNormal="70" workbookViewId="0">
      <selection activeCell="A2" sqref="A2:B43"/>
    </sheetView>
  </sheetViews>
  <sheetFormatPr defaultRowHeight="15" x14ac:dyDescent="0.25"/>
  <cols>
    <col min="1" max="1" width="22.28515625" style="8" customWidth="1"/>
    <col min="2" max="3" width="25.85546875" style="8" customWidth="1"/>
    <col min="4" max="4" width="22.42578125" style="8" customWidth="1"/>
    <col min="5" max="5" width="27.42578125" style="8" customWidth="1"/>
    <col min="6" max="6" width="28.28515625" style="8" customWidth="1"/>
    <col min="7" max="7" width="27.28515625" style="8" customWidth="1"/>
    <col min="8" max="9" width="26.85546875" style="8" customWidth="1"/>
    <col min="10" max="10" width="26.5703125" style="8" customWidth="1"/>
    <col min="11" max="11" width="27" style="8" customWidth="1"/>
    <col min="12" max="12" width="32.140625" style="8" customWidth="1"/>
    <col min="13" max="14" width="25.7109375" style="8" customWidth="1"/>
    <col min="15" max="15" width="25.140625" style="8" customWidth="1"/>
    <col min="16" max="16" width="26.28515625" style="8" customWidth="1"/>
    <col min="17" max="18" width="24.85546875" style="8" customWidth="1"/>
    <col min="19" max="20" width="23.5703125" style="8" customWidth="1"/>
    <col min="21" max="22" width="24.85546875" style="8" customWidth="1"/>
    <col min="23" max="23" width="24" style="8" customWidth="1"/>
    <col min="24" max="24" width="24.28515625" style="8" customWidth="1"/>
    <col min="25" max="25" width="35.5703125" style="8" customWidth="1"/>
    <col min="26" max="26" width="24.140625" style="8" customWidth="1"/>
    <col min="27" max="27" width="21.140625" style="8" customWidth="1"/>
    <col min="28" max="28" width="20.28515625" style="8" customWidth="1"/>
    <col min="29" max="16384" width="9.140625" style="8"/>
  </cols>
  <sheetData>
    <row r="1" spans="1:26" ht="173.25" customHeight="1" x14ac:dyDescent="0.25">
      <c r="A1" s="6" t="s">
        <v>7</v>
      </c>
      <c r="B1" s="6" t="s">
        <v>8</v>
      </c>
      <c r="C1" s="6" t="s">
        <v>9</v>
      </c>
      <c r="D1" s="6" t="s">
        <v>24</v>
      </c>
      <c r="E1" s="7" t="s">
        <v>20</v>
      </c>
      <c r="F1" s="6" t="s">
        <v>10</v>
      </c>
      <c r="G1" s="6" t="s">
        <v>11</v>
      </c>
      <c r="H1" s="6" t="s">
        <v>26</v>
      </c>
      <c r="I1" s="6" t="s">
        <v>25</v>
      </c>
      <c r="J1" s="6" t="s">
        <v>12</v>
      </c>
      <c r="K1" s="6" t="s">
        <v>13</v>
      </c>
      <c r="L1" s="7" t="s">
        <v>21</v>
      </c>
      <c r="M1" s="6" t="s">
        <v>27</v>
      </c>
      <c r="N1" s="6" t="s">
        <v>28</v>
      </c>
      <c r="O1" s="6" t="s">
        <v>14</v>
      </c>
      <c r="P1" s="7" t="s">
        <v>22</v>
      </c>
      <c r="Q1" s="6" t="s">
        <v>15</v>
      </c>
      <c r="R1" s="6" t="s">
        <v>29</v>
      </c>
      <c r="S1" s="6" t="s">
        <v>16</v>
      </c>
      <c r="T1" s="6" t="s">
        <v>30</v>
      </c>
      <c r="U1" s="6" t="s">
        <v>32</v>
      </c>
      <c r="V1" s="6" t="s">
        <v>31</v>
      </c>
      <c r="W1" s="6" t="s">
        <v>17</v>
      </c>
      <c r="X1" s="6" t="s">
        <v>18</v>
      </c>
      <c r="Y1" s="6" t="s">
        <v>23</v>
      </c>
      <c r="Z1" s="6" t="s">
        <v>19</v>
      </c>
    </row>
    <row r="2" spans="1:26" s="9" customFormat="1" x14ac:dyDescent="0.25">
      <c r="A2" s="11"/>
      <c r="B2" s="11"/>
      <c r="C2" s="11" t="s">
        <v>33</v>
      </c>
      <c r="D2" s="11" t="s">
        <v>34</v>
      </c>
      <c r="E2" s="12">
        <v>6</v>
      </c>
      <c r="F2" s="11" t="s">
        <v>35</v>
      </c>
      <c r="G2" s="11" t="s">
        <v>36</v>
      </c>
      <c r="H2" s="11" t="s">
        <v>37</v>
      </c>
      <c r="I2" s="11" t="s">
        <v>38</v>
      </c>
      <c r="J2" s="11" t="s">
        <v>38</v>
      </c>
      <c r="K2" s="11" t="s">
        <v>38</v>
      </c>
      <c r="L2" s="14">
        <v>6</v>
      </c>
      <c r="M2" s="15" t="s">
        <v>37</v>
      </c>
      <c r="N2" s="11" t="s">
        <v>38</v>
      </c>
      <c r="O2" s="11" t="s">
        <v>39</v>
      </c>
      <c r="P2" s="13">
        <v>6</v>
      </c>
      <c r="Q2" s="11" t="s">
        <v>37</v>
      </c>
      <c r="R2" s="11" t="s">
        <v>38</v>
      </c>
      <c r="S2" s="11" t="s">
        <v>37</v>
      </c>
      <c r="T2" s="11" t="s">
        <v>38</v>
      </c>
      <c r="U2" s="11" t="s">
        <v>40</v>
      </c>
      <c r="V2" s="11" t="s">
        <v>38</v>
      </c>
      <c r="W2" s="11" t="s">
        <v>41</v>
      </c>
      <c r="X2" s="11" t="s">
        <v>42</v>
      </c>
      <c r="Y2" s="13">
        <v>8</v>
      </c>
      <c r="Z2" s="11" t="s">
        <v>43</v>
      </c>
    </row>
    <row r="3" spans="1:26" s="9" customFormat="1" x14ac:dyDescent="0.25">
      <c r="A3" s="11"/>
      <c r="B3" s="11"/>
      <c r="C3" s="11" t="s">
        <v>44</v>
      </c>
      <c r="D3" s="11" t="s">
        <v>45</v>
      </c>
      <c r="E3" s="12">
        <v>10</v>
      </c>
      <c r="F3" s="11" t="s">
        <v>46</v>
      </c>
      <c r="G3" s="11" t="s">
        <v>47</v>
      </c>
      <c r="H3" s="11" t="s">
        <v>37</v>
      </c>
      <c r="I3" s="11" t="s">
        <v>38</v>
      </c>
      <c r="J3" s="11" t="s">
        <v>48</v>
      </c>
      <c r="K3" s="11" t="s">
        <v>49</v>
      </c>
      <c r="L3" s="14">
        <v>6</v>
      </c>
      <c r="M3" s="15" t="s">
        <v>40</v>
      </c>
      <c r="N3" s="11" t="s">
        <v>50</v>
      </c>
      <c r="O3" s="11" t="s">
        <v>51</v>
      </c>
      <c r="P3" s="13">
        <v>9</v>
      </c>
      <c r="Q3" s="11" t="s">
        <v>37</v>
      </c>
      <c r="R3" s="11" t="s">
        <v>38</v>
      </c>
      <c r="S3" s="11" t="s">
        <v>37</v>
      </c>
      <c r="T3" s="11" t="s">
        <v>38</v>
      </c>
      <c r="U3" s="11" t="s">
        <v>40</v>
      </c>
      <c r="V3" s="11" t="s">
        <v>38</v>
      </c>
      <c r="W3" s="11" t="s">
        <v>52</v>
      </c>
      <c r="X3" s="11" t="s">
        <v>42</v>
      </c>
      <c r="Y3" s="13">
        <v>10</v>
      </c>
      <c r="Z3" s="11" t="s">
        <v>53</v>
      </c>
    </row>
    <row r="4" spans="1:26" s="9" customFormat="1" x14ac:dyDescent="0.25">
      <c r="A4" s="11"/>
      <c r="B4" s="11"/>
      <c r="C4" s="11" t="s">
        <v>33</v>
      </c>
      <c r="D4" s="11" t="s">
        <v>54</v>
      </c>
      <c r="E4" s="12">
        <v>10</v>
      </c>
      <c r="F4" s="11" t="s">
        <v>55</v>
      </c>
      <c r="G4" s="11" t="s">
        <v>56</v>
      </c>
      <c r="H4" s="11" t="s">
        <v>37</v>
      </c>
      <c r="I4" s="11" t="s">
        <v>57</v>
      </c>
      <c r="J4" s="11" t="s">
        <v>58</v>
      </c>
      <c r="K4" s="11" t="s">
        <v>59</v>
      </c>
      <c r="L4" s="14">
        <v>2</v>
      </c>
      <c r="M4" s="15" t="s">
        <v>40</v>
      </c>
      <c r="N4" s="11" t="s">
        <v>60</v>
      </c>
      <c r="O4" s="11" t="s">
        <v>61</v>
      </c>
      <c r="P4" s="13">
        <v>10</v>
      </c>
      <c r="Q4" s="11" t="s">
        <v>37</v>
      </c>
      <c r="R4" s="11" t="s">
        <v>38</v>
      </c>
      <c r="S4" s="11" t="s">
        <v>37</v>
      </c>
      <c r="T4" s="11" t="s">
        <v>38</v>
      </c>
      <c r="U4" s="11" t="s">
        <v>40</v>
      </c>
      <c r="V4" s="11" t="s">
        <v>38</v>
      </c>
      <c r="W4" s="11" t="s">
        <v>62</v>
      </c>
      <c r="X4" s="11" t="s">
        <v>63</v>
      </c>
      <c r="Y4" s="13">
        <v>10</v>
      </c>
      <c r="Z4" s="11" t="s">
        <v>64</v>
      </c>
    </row>
    <row r="5" spans="1:26" s="9" customFormat="1" x14ac:dyDescent="0.25">
      <c r="A5" s="11"/>
      <c r="B5" s="11"/>
      <c r="C5" s="11" t="s">
        <v>33</v>
      </c>
      <c r="D5" s="11" t="s">
        <v>65</v>
      </c>
      <c r="E5" s="12">
        <v>7</v>
      </c>
      <c r="F5" s="11" t="s">
        <v>66</v>
      </c>
      <c r="G5" s="11" t="s">
        <v>67</v>
      </c>
      <c r="H5" s="11" t="s">
        <v>37</v>
      </c>
      <c r="I5" s="11" t="s">
        <v>38</v>
      </c>
      <c r="J5" s="11" t="s">
        <v>68</v>
      </c>
      <c r="K5" s="11" t="s">
        <v>68</v>
      </c>
      <c r="L5" s="14">
        <v>7</v>
      </c>
      <c r="M5" s="15" t="s">
        <v>37</v>
      </c>
      <c r="N5" s="11" t="s">
        <v>38</v>
      </c>
      <c r="O5" s="11" t="s">
        <v>38</v>
      </c>
      <c r="P5" s="13">
        <v>6</v>
      </c>
      <c r="Q5" s="11" t="s">
        <v>37</v>
      </c>
      <c r="R5" s="11" t="s">
        <v>38</v>
      </c>
      <c r="S5" s="11" t="s">
        <v>37</v>
      </c>
      <c r="T5" s="11" t="s">
        <v>38</v>
      </c>
      <c r="U5" s="11" t="s">
        <v>40</v>
      </c>
      <c r="V5" s="11" t="s">
        <v>38</v>
      </c>
      <c r="W5" s="11" t="s">
        <v>38</v>
      </c>
      <c r="X5" s="11" t="s">
        <v>42</v>
      </c>
      <c r="Y5" s="13">
        <v>8</v>
      </c>
      <c r="Z5" s="11" t="s">
        <v>38</v>
      </c>
    </row>
    <row r="6" spans="1:26" s="9" customFormat="1" x14ac:dyDescent="0.25">
      <c r="A6" s="11"/>
      <c r="B6" s="11"/>
      <c r="C6" s="11" t="s">
        <v>33</v>
      </c>
      <c r="D6" s="11" t="s">
        <v>69</v>
      </c>
      <c r="E6" s="12">
        <v>7</v>
      </c>
      <c r="F6" s="11" t="s">
        <v>70</v>
      </c>
      <c r="G6" s="11" t="s">
        <v>38</v>
      </c>
      <c r="H6" s="11" t="s">
        <v>37</v>
      </c>
      <c r="I6" s="11" t="s">
        <v>38</v>
      </c>
      <c r="J6" s="11" t="s">
        <v>38</v>
      </c>
      <c r="K6" s="11" t="s">
        <v>38</v>
      </c>
      <c r="L6" s="14">
        <v>10</v>
      </c>
      <c r="M6" s="15" t="s">
        <v>37</v>
      </c>
      <c r="N6" s="11" t="s">
        <v>38</v>
      </c>
      <c r="O6" s="11" t="s">
        <v>38</v>
      </c>
      <c r="P6" s="13">
        <v>10</v>
      </c>
      <c r="Q6" s="11" t="s">
        <v>37</v>
      </c>
      <c r="R6" s="11" t="s">
        <v>38</v>
      </c>
      <c r="S6" s="11" t="s">
        <v>37</v>
      </c>
      <c r="T6" s="11" t="s">
        <v>38</v>
      </c>
      <c r="U6" s="11" t="s">
        <v>37</v>
      </c>
      <c r="V6" s="11" t="s">
        <v>71</v>
      </c>
      <c r="W6" s="11" t="s">
        <v>38</v>
      </c>
      <c r="X6" s="11" t="s">
        <v>72</v>
      </c>
      <c r="Y6" s="13">
        <v>10</v>
      </c>
      <c r="Z6" s="11" t="s">
        <v>38</v>
      </c>
    </row>
    <row r="7" spans="1:26" s="9" customFormat="1" x14ac:dyDescent="0.25">
      <c r="A7" s="11"/>
      <c r="B7" s="11"/>
      <c r="C7" s="11" t="s">
        <v>33</v>
      </c>
      <c r="D7" s="11" t="s">
        <v>73</v>
      </c>
      <c r="E7" s="12">
        <v>6</v>
      </c>
      <c r="F7" s="11" t="s">
        <v>74</v>
      </c>
      <c r="G7" s="11" t="s">
        <v>38</v>
      </c>
      <c r="H7" s="11" t="s">
        <v>37</v>
      </c>
      <c r="I7" s="11" t="s">
        <v>38</v>
      </c>
      <c r="J7" s="11" t="s">
        <v>38</v>
      </c>
      <c r="K7" s="11" t="s">
        <v>38</v>
      </c>
      <c r="L7" s="14">
        <v>7</v>
      </c>
      <c r="M7" s="15" t="s">
        <v>37</v>
      </c>
      <c r="N7" s="11" t="s">
        <v>38</v>
      </c>
      <c r="O7" s="11" t="s">
        <v>75</v>
      </c>
      <c r="P7" s="13">
        <v>10</v>
      </c>
      <c r="Q7" s="11" t="s">
        <v>40</v>
      </c>
      <c r="R7" s="11" t="s">
        <v>76</v>
      </c>
      <c r="S7" s="11" t="s">
        <v>37</v>
      </c>
      <c r="T7" s="11" t="s">
        <v>38</v>
      </c>
      <c r="U7" s="11" t="s">
        <v>40</v>
      </c>
      <c r="V7" s="11" t="s">
        <v>38</v>
      </c>
      <c r="W7" s="11" t="s">
        <v>77</v>
      </c>
      <c r="X7" s="11" t="s">
        <v>63</v>
      </c>
      <c r="Y7" s="13">
        <v>10</v>
      </c>
      <c r="Z7" s="11" t="s">
        <v>78</v>
      </c>
    </row>
    <row r="8" spans="1:26" s="9" customFormat="1" x14ac:dyDescent="0.25">
      <c r="A8" s="11"/>
      <c r="B8" s="11"/>
      <c r="C8" s="11" t="s">
        <v>79</v>
      </c>
      <c r="D8" s="11" t="s">
        <v>80</v>
      </c>
      <c r="E8" s="12">
        <v>10</v>
      </c>
      <c r="F8" s="11" t="s">
        <v>81</v>
      </c>
      <c r="G8" s="11" t="s">
        <v>82</v>
      </c>
      <c r="H8" s="11" t="s">
        <v>37</v>
      </c>
      <c r="I8" s="11" t="s">
        <v>38</v>
      </c>
      <c r="J8" s="11" t="s">
        <v>83</v>
      </c>
      <c r="K8" s="11" t="s">
        <v>84</v>
      </c>
      <c r="L8" s="14">
        <v>10</v>
      </c>
      <c r="M8" s="15" t="s">
        <v>37</v>
      </c>
      <c r="N8" s="11" t="s">
        <v>38</v>
      </c>
      <c r="O8" s="11" t="s">
        <v>85</v>
      </c>
      <c r="P8" s="13">
        <v>10</v>
      </c>
      <c r="Q8" s="11" t="s">
        <v>37</v>
      </c>
      <c r="R8" s="11" t="s">
        <v>38</v>
      </c>
      <c r="S8" s="11" t="s">
        <v>37</v>
      </c>
      <c r="T8" s="11" t="s">
        <v>38</v>
      </c>
      <c r="U8" s="11" t="s">
        <v>40</v>
      </c>
      <c r="V8" s="11" t="s">
        <v>38</v>
      </c>
      <c r="W8" s="11" t="s">
        <v>86</v>
      </c>
      <c r="X8" s="11" t="s">
        <v>42</v>
      </c>
      <c r="Y8" s="13">
        <v>10</v>
      </c>
      <c r="Z8" s="11" t="s">
        <v>87</v>
      </c>
    </row>
    <row r="9" spans="1:26" s="9" customFormat="1" x14ac:dyDescent="0.25">
      <c r="A9" s="11"/>
      <c r="B9" s="11"/>
      <c r="C9" s="11" t="s">
        <v>79</v>
      </c>
      <c r="D9" s="11" t="s">
        <v>88</v>
      </c>
      <c r="E9" s="12">
        <v>7</v>
      </c>
      <c r="F9" s="11" t="s">
        <v>89</v>
      </c>
      <c r="G9" s="11" t="s">
        <v>90</v>
      </c>
      <c r="H9" s="11" t="s">
        <v>37</v>
      </c>
      <c r="I9" s="11" t="s">
        <v>38</v>
      </c>
      <c r="J9" s="11" t="s">
        <v>91</v>
      </c>
      <c r="K9" s="11" t="s">
        <v>92</v>
      </c>
      <c r="L9" s="16">
        <v>7</v>
      </c>
      <c r="M9" s="15" t="s">
        <v>44</v>
      </c>
      <c r="N9" s="11" t="s">
        <v>93</v>
      </c>
      <c r="O9" s="11" t="s">
        <v>94</v>
      </c>
      <c r="P9" s="13">
        <v>9</v>
      </c>
      <c r="Q9" s="11" t="s">
        <v>37</v>
      </c>
      <c r="R9" s="11" t="s">
        <v>38</v>
      </c>
      <c r="S9" s="11" t="s">
        <v>37</v>
      </c>
      <c r="T9" s="11" t="s">
        <v>38</v>
      </c>
      <c r="U9" s="11" t="s">
        <v>40</v>
      </c>
      <c r="V9" s="11" t="s">
        <v>38</v>
      </c>
      <c r="W9" s="11" t="s">
        <v>95</v>
      </c>
      <c r="X9" s="11" t="s">
        <v>42</v>
      </c>
      <c r="Y9" s="13">
        <v>9</v>
      </c>
      <c r="Z9" s="11" t="s">
        <v>96</v>
      </c>
    </row>
    <row r="10" spans="1:26" s="9" customFormat="1" x14ac:dyDescent="0.25">
      <c r="A10" s="11"/>
      <c r="B10" s="11"/>
      <c r="C10" s="11" t="s">
        <v>33</v>
      </c>
      <c r="D10" s="11" t="s">
        <v>97</v>
      </c>
      <c r="E10" s="12">
        <v>8</v>
      </c>
      <c r="F10" s="11" t="s">
        <v>98</v>
      </c>
      <c r="G10" s="11" t="s">
        <v>99</v>
      </c>
      <c r="H10" s="11" t="s">
        <v>37</v>
      </c>
      <c r="I10" s="11" t="s">
        <v>38</v>
      </c>
      <c r="J10" s="11" t="s">
        <v>100</v>
      </c>
      <c r="K10" s="11" t="s">
        <v>101</v>
      </c>
      <c r="L10" s="14">
        <v>7</v>
      </c>
      <c r="M10" s="15" t="s">
        <v>37</v>
      </c>
      <c r="N10" s="11" t="s">
        <v>38</v>
      </c>
      <c r="O10" s="11" t="s">
        <v>38</v>
      </c>
      <c r="P10" s="13">
        <v>10</v>
      </c>
      <c r="Q10" s="11" t="s">
        <v>37</v>
      </c>
      <c r="R10" s="11" t="s">
        <v>38</v>
      </c>
      <c r="S10" s="11" t="s">
        <v>37</v>
      </c>
      <c r="T10" s="11" t="s">
        <v>38</v>
      </c>
      <c r="U10" s="11" t="s">
        <v>40</v>
      </c>
      <c r="V10" s="11" t="s">
        <v>38</v>
      </c>
      <c r="W10" s="11" t="s">
        <v>38</v>
      </c>
      <c r="X10" s="11" t="s">
        <v>42</v>
      </c>
      <c r="Y10" s="13">
        <v>10</v>
      </c>
      <c r="Z10" s="11" t="s">
        <v>38</v>
      </c>
    </row>
    <row r="11" spans="1:26" s="9" customFormat="1" x14ac:dyDescent="0.25">
      <c r="A11" s="11"/>
      <c r="B11" s="11"/>
      <c r="C11" s="11" t="s">
        <v>33</v>
      </c>
      <c r="D11" s="11" t="s">
        <v>102</v>
      </c>
      <c r="E11" s="12">
        <v>10</v>
      </c>
      <c r="F11" s="11" t="s">
        <v>103</v>
      </c>
      <c r="G11" s="11" t="s">
        <v>104</v>
      </c>
      <c r="H11" s="11" t="s">
        <v>37</v>
      </c>
      <c r="I11" s="11" t="s">
        <v>38</v>
      </c>
      <c r="J11" s="11" t="s">
        <v>38</v>
      </c>
      <c r="K11" s="11" t="s">
        <v>38</v>
      </c>
      <c r="L11" s="14">
        <v>10</v>
      </c>
      <c r="M11" s="15" t="s">
        <v>37</v>
      </c>
      <c r="N11" s="11" t="s">
        <v>38</v>
      </c>
      <c r="O11" s="11" t="s">
        <v>38</v>
      </c>
      <c r="P11" s="13">
        <v>10</v>
      </c>
      <c r="Q11" s="11" t="s">
        <v>37</v>
      </c>
      <c r="R11" s="11" t="s">
        <v>38</v>
      </c>
      <c r="S11" s="11" t="s">
        <v>37</v>
      </c>
      <c r="T11" s="11" t="s">
        <v>38</v>
      </c>
      <c r="U11" s="11" t="s">
        <v>40</v>
      </c>
      <c r="V11" s="11" t="s">
        <v>38</v>
      </c>
      <c r="W11" s="11" t="s">
        <v>38</v>
      </c>
      <c r="X11" s="11" t="s">
        <v>42</v>
      </c>
      <c r="Y11" s="13">
        <v>10</v>
      </c>
      <c r="Z11" s="11" t="s">
        <v>105</v>
      </c>
    </row>
    <row r="12" spans="1:26" s="9" customFormat="1" x14ac:dyDescent="0.25">
      <c r="A12" s="11"/>
      <c r="B12" s="11"/>
      <c r="C12" s="11" t="s">
        <v>33</v>
      </c>
      <c r="D12" s="11" t="s">
        <v>106</v>
      </c>
      <c r="E12" s="12">
        <v>8</v>
      </c>
      <c r="F12" s="11" t="s">
        <v>107</v>
      </c>
      <c r="G12" s="11" t="s">
        <v>108</v>
      </c>
      <c r="H12" s="11" t="s">
        <v>37</v>
      </c>
      <c r="I12" s="11" t="s">
        <v>38</v>
      </c>
      <c r="J12" s="11" t="s">
        <v>38</v>
      </c>
      <c r="K12" s="11" t="s">
        <v>109</v>
      </c>
      <c r="L12" s="14">
        <v>8</v>
      </c>
      <c r="M12" s="15" t="s">
        <v>37</v>
      </c>
      <c r="N12" s="11" t="s">
        <v>38</v>
      </c>
      <c r="O12" s="11" t="s">
        <v>38</v>
      </c>
      <c r="P12" s="13">
        <v>8</v>
      </c>
      <c r="Q12" s="11" t="s">
        <v>37</v>
      </c>
      <c r="R12" s="11" t="s">
        <v>38</v>
      </c>
      <c r="S12" s="11" t="s">
        <v>37</v>
      </c>
      <c r="T12" s="11" t="s">
        <v>38</v>
      </c>
      <c r="U12" s="11" t="s">
        <v>37</v>
      </c>
      <c r="V12" s="11" t="s">
        <v>110</v>
      </c>
      <c r="W12" s="11" t="s">
        <v>38</v>
      </c>
      <c r="X12" s="11" t="s">
        <v>63</v>
      </c>
      <c r="Y12" s="13">
        <v>10</v>
      </c>
      <c r="Z12" s="11" t="s">
        <v>111</v>
      </c>
    </row>
    <row r="13" spans="1:26" s="9" customFormat="1" x14ac:dyDescent="0.25">
      <c r="A13" s="11"/>
      <c r="B13" s="11"/>
      <c r="C13" s="11" t="s">
        <v>33</v>
      </c>
      <c r="D13" s="11" t="s">
        <v>112</v>
      </c>
      <c r="E13" s="12">
        <v>10</v>
      </c>
      <c r="F13" s="11" t="s">
        <v>113</v>
      </c>
      <c r="G13" s="11" t="s">
        <v>114</v>
      </c>
      <c r="H13" s="11" t="s">
        <v>37</v>
      </c>
      <c r="I13" s="11" t="s">
        <v>38</v>
      </c>
      <c r="J13" s="11" t="s">
        <v>115</v>
      </c>
      <c r="K13" s="11" t="s">
        <v>116</v>
      </c>
      <c r="L13" s="14">
        <v>9</v>
      </c>
      <c r="M13" s="15" t="s">
        <v>37</v>
      </c>
      <c r="N13" s="11" t="s">
        <v>38</v>
      </c>
      <c r="O13" s="11" t="s">
        <v>115</v>
      </c>
      <c r="P13" s="13">
        <v>9</v>
      </c>
      <c r="Q13" s="11" t="s">
        <v>37</v>
      </c>
      <c r="R13" s="11" t="s">
        <v>38</v>
      </c>
      <c r="S13" s="11" t="s">
        <v>37</v>
      </c>
      <c r="T13" s="11" t="s">
        <v>38</v>
      </c>
      <c r="U13" s="11" t="s">
        <v>40</v>
      </c>
      <c r="V13" s="11" t="s">
        <v>38</v>
      </c>
      <c r="W13" s="11" t="s">
        <v>117</v>
      </c>
      <c r="X13" s="11" t="s">
        <v>72</v>
      </c>
      <c r="Y13" s="13">
        <v>9</v>
      </c>
      <c r="Z13" s="11" t="s">
        <v>118</v>
      </c>
    </row>
    <row r="14" spans="1:26" s="9" customFormat="1" x14ac:dyDescent="0.25">
      <c r="A14" s="11"/>
      <c r="B14" s="11"/>
      <c r="C14" s="11" t="s">
        <v>33</v>
      </c>
      <c r="D14" s="11" t="s">
        <v>119</v>
      </c>
      <c r="E14" s="12">
        <v>7</v>
      </c>
      <c r="F14" s="11" t="s">
        <v>120</v>
      </c>
      <c r="G14" s="11" t="s">
        <v>120</v>
      </c>
      <c r="H14" s="11" t="s">
        <v>37</v>
      </c>
      <c r="I14" s="11" t="s">
        <v>38</v>
      </c>
      <c r="J14" s="11" t="s">
        <v>121</v>
      </c>
      <c r="K14" s="11" t="s">
        <v>52</v>
      </c>
      <c r="L14" s="14">
        <v>8</v>
      </c>
      <c r="M14" s="15" t="s">
        <v>37</v>
      </c>
      <c r="N14" s="11" t="s">
        <v>38</v>
      </c>
      <c r="O14" s="11" t="s">
        <v>85</v>
      </c>
      <c r="P14" s="13">
        <v>8</v>
      </c>
      <c r="Q14" s="11" t="s">
        <v>37</v>
      </c>
      <c r="R14" s="11" t="s">
        <v>38</v>
      </c>
      <c r="S14" s="11" t="s">
        <v>37</v>
      </c>
      <c r="T14" s="11" t="s">
        <v>38</v>
      </c>
      <c r="U14" s="11" t="s">
        <v>37</v>
      </c>
      <c r="V14" s="11" t="s">
        <v>122</v>
      </c>
      <c r="W14" s="11" t="s">
        <v>123</v>
      </c>
      <c r="X14" s="11" t="s">
        <v>42</v>
      </c>
      <c r="Y14" s="13">
        <v>10</v>
      </c>
      <c r="Z14" s="11" t="s">
        <v>38</v>
      </c>
    </row>
    <row r="15" spans="1:26" s="9" customFormat="1" x14ac:dyDescent="0.25">
      <c r="A15" s="11"/>
      <c r="B15" s="11"/>
      <c r="C15" s="11" t="s">
        <v>124</v>
      </c>
      <c r="D15" s="11" t="s">
        <v>125</v>
      </c>
      <c r="E15" s="12">
        <v>10</v>
      </c>
      <c r="F15" s="11" t="s">
        <v>126</v>
      </c>
      <c r="G15" s="11" t="s">
        <v>127</v>
      </c>
      <c r="H15" s="11" t="s">
        <v>37</v>
      </c>
      <c r="I15" s="11" t="s">
        <v>38</v>
      </c>
      <c r="J15" s="11" t="s">
        <v>38</v>
      </c>
      <c r="K15" s="11" t="s">
        <v>128</v>
      </c>
      <c r="L15" s="14">
        <v>10</v>
      </c>
      <c r="M15" s="15" t="s">
        <v>40</v>
      </c>
      <c r="N15" s="11" t="s">
        <v>129</v>
      </c>
      <c r="O15" s="11" t="s">
        <v>38</v>
      </c>
      <c r="P15" s="13">
        <v>10</v>
      </c>
      <c r="Q15" s="11" t="s">
        <v>37</v>
      </c>
      <c r="R15" s="11" t="s">
        <v>38</v>
      </c>
      <c r="S15" s="11" t="s">
        <v>37</v>
      </c>
      <c r="T15" s="11" t="s">
        <v>38</v>
      </c>
      <c r="U15" s="11" t="s">
        <v>40</v>
      </c>
      <c r="V15" s="11" t="s">
        <v>38</v>
      </c>
      <c r="W15" s="11" t="s">
        <v>130</v>
      </c>
      <c r="X15" s="11" t="s">
        <v>42</v>
      </c>
      <c r="Y15" s="13">
        <v>10</v>
      </c>
      <c r="Z15" s="11" t="s">
        <v>38</v>
      </c>
    </row>
    <row r="16" spans="1:26" s="9" customFormat="1" x14ac:dyDescent="0.25">
      <c r="A16" s="11"/>
      <c r="B16" s="11"/>
      <c r="C16" s="11" t="s">
        <v>124</v>
      </c>
      <c r="D16" s="11" t="s">
        <v>131</v>
      </c>
      <c r="E16" s="12">
        <v>10</v>
      </c>
      <c r="F16" s="11" t="s">
        <v>132</v>
      </c>
      <c r="G16" s="11" t="s">
        <v>133</v>
      </c>
      <c r="H16" s="11" t="s">
        <v>37</v>
      </c>
      <c r="I16" s="11" t="s">
        <v>38</v>
      </c>
      <c r="J16" s="11" t="s">
        <v>38</v>
      </c>
      <c r="K16" s="11" t="s">
        <v>38</v>
      </c>
      <c r="L16" s="14">
        <v>10</v>
      </c>
      <c r="M16" s="15" t="s">
        <v>37</v>
      </c>
      <c r="N16" s="11" t="s">
        <v>38</v>
      </c>
      <c r="O16" s="11" t="s">
        <v>38</v>
      </c>
      <c r="P16" s="13">
        <v>10</v>
      </c>
      <c r="Q16" s="11" t="s">
        <v>37</v>
      </c>
      <c r="R16" s="11" t="s">
        <v>38</v>
      </c>
      <c r="S16" s="11" t="s">
        <v>37</v>
      </c>
      <c r="T16" s="11" t="s">
        <v>38</v>
      </c>
      <c r="U16" s="11" t="s">
        <v>40</v>
      </c>
      <c r="V16" s="11" t="s">
        <v>38</v>
      </c>
      <c r="W16" s="11" t="s">
        <v>38</v>
      </c>
      <c r="X16" s="11" t="s">
        <v>42</v>
      </c>
      <c r="Y16" s="13">
        <v>10</v>
      </c>
      <c r="Z16" s="11" t="s">
        <v>38</v>
      </c>
    </row>
    <row r="17" spans="1:26" s="9" customFormat="1" x14ac:dyDescent="0.25">
      <c r="A17" s="11"/>
      <c r="B17" s="11"/>
      <c r="C17" s="11" t="s">
        <v>33</v>
      </c>
      <c r="D17" s="11" t="s">
        <v>134</v>
      </c>
      <c r="E17" s="12">
        <v>5</v>
      </c>
      <c r="F17" s="11" t="s">
        <v>135</v>
      </c>
      <c r="G17" s="11" t="s">
        <v>136</v>
      </c>
      <c r="H17" s="11" t="s">
        <v>37</v>
      </c>
      <c r="I17" s="11" t="s">
        <v>137</v>
      </c>
      <c r="J17" s="11" t="s">
        <v>138</v>
      </c>
      <c r="K17" s="11" t="s">
        <v>139</v>
      </c>
      <c r="L17" s="14">
        <v>4</v>
      </c>
      <c r="M17" s="15" t="s">
        <v>40</v>
      </c>
      <c r="N17" s="11" t="s">
        <v>139</v>
      </c>
      <c r="O17" s="11" t="s">
        <v>140</v>
      </c>
      <c r="P17" s="13">
        <v>10</v>
      </c>
      <c r="Q17" s="11" t="s">
        <v>37</v>
      </c>
      <c r="R17" s="11" t="s">
        <v>137</v>
      </c>
      <c r="S17" s="11" t="s">
        <v>37</v>
      </c>
      <c r="T17" s="11" t="s">
        <v>141</v>
      </c>
      <c r="U17" s="11" t="s">
        <v>37</v>
      </c>
      <c r="V17" s="11" t="s">
        <v>142</v>
      </c>
      <c r="W17" s="11" t="s">
        <v>143</v>
      </c>
      <c r="X17" s="11" t="s">
        <v>42</v>
      </c>
      <c r="Y17" s="13">
        <v>10</v>
      </c>
      <c r="Z17" s="11" t="s">
        <v>144</v>
      </c>
    </row>
    <row r="18" spans="1:26" s="9" customFormat="1" x14ac:dyDescent="0.25">
      <c r="A18" s="11"/>
      <c r="B18" s="11"/>
      <c r="C18" s="11" t="s">
        <v>124</v>
      </c>
      <c r="D18" s="11" t="s">
        <v>145</v>
      </c>
      <c r="E18" s="12">
        <v>9</v>
      </c>
      <c r="F18" s="11" t="s">
        <v>146</v>
      </c>
      <c r="G18" s="11" t="s">
        <v>114</v>
      </c>
      <c r="H18" s="11" t="s">
        <v>44</v>
      </c>
      <c r="I18" s="11" t="s">
        <v>38</v>
      </c>
      <c r="J18" s="11" t="s">
        <v>147</v>
      </c>
      <c r="K18" s="11" t="s">
        <v>148</v>
      </c>
      <c r="L18" s="14">
        <v>6</v>
      </c>
      <c r="M18" s="15" t="s">
        <v>40</v>
      </c>
      <c r="N18" s="11" t="s">
        <v>149</v>
      </c>
      <c r="O18" s="11" t="s">
        <v>150</v>
      </c>
      <c r="P18" s="13">
        <v>10</v>
      </c>
      <c r="Q18" s="11" t="s">
        <v>44</v>
      </c>
      <c r="R18" s="11" t="s">
        <v>38</v>
      </c>
      <c r="S18" s="11" t="s">
        <v>44</v>
      </c>
      <c r="T18" s="11" t="s">
        <v>38</v>
      </c>
      <c r="U18" s="11" t="s">
        <v>44</v>
      </c>
      <c r="V18" s="11" t="s">
        <v>38</v>
      </c>
      <c r="W18" s="11" t="s">
        <v>151</v>
      </c>
      <c r="X18" s="11" t="s">
        <v>63</v>
      </c>
      <c r="Y18" s="13">
        <v>10</v>
      </c>
      <c r="Z18" s="11" t="s">
        <v>152</v>
      </c>
    </row>
    <row r="19" spans="1:26" s="9" customFormat="1" x14ac:dyDescent="0.25">
      <c r="A19" s="11"/>
      <c r="B19" s="11"/>
      <c r="C19" s="11" t="s">
        <v>124</v>
      </c>
      <c r="D19" s="11" t="s">
        <v>153</v>
      </c>
      <c r="E19" s="12">
        <v>10</v>
      </c>
      <c r="F19" s="11" t="s">
        <v>154</v>
      </c>
      <c r="G19" s="11" t="s">
        <v>154</v>
      </c>
      <c r="H19" s="11" t="s">
        <v>37</v>
      </c>
      <c r="I19" s="11" t="s">
        <v>38</v>
      </c>
      <c r="J19" s="11" t="s">
        <v>155</v>
      </c>
      <c r="K19" s="11" t="s">
        <v>38</v>
      </c>
      <c r="L19" s="14">
        <v>10</v>
      </c>
      <c r="M19" s="15" t="s">
        <v>37</v>
      </c>
      <c r="N19" s="11" t="s">
        <v>38</v>
      </c>
      <c r="O19" s="11" t="s">
        <v>38</v>
      </c>
      <c r="P19" s="13">
        <v>10</v>
      </c>
      <c r="Q19" s="11" t="s">
        <v>37</v>
      </c>
      <c r="R19" s="11" t="s">
        <v>38</v>
      </c>
      <c r="S19" s="11" t="s">
        <v>37</v>
      </c>
      <c r="T19" s="11" t="s">
        <v>38</v>
      </c>
      <c r="U19" s="11" t="s">
        <v>40</v>
      </c>
      <c r="V19" s="11" t="s">
        <v>38</v>
      </c>
      <c r="W19" s="11" t="s">
        <v>38</v>
      </c>
      <c r="X19" s="11" t="s">
        <v>72</v>
      </c>
      <c r="Y19" s="13">
        <v>10</v>
      </c>
      <c r="Z19" s="11" t="s">
        <v>156</v>
      </c>
    </row>
    <row r="20" spans="1:26" s="9" customFormat="1" x14ac:dyDescent="0.25">
      <c r="A20" s="11"/>
      <c r="B20" s="11"/>
      <c r="C20" s="11" t="s">
        <v>33</v>
      </c>
      <c r="D20" s="11" t="s">
        <v>157</v>
      </c>
      <c r="E20" s="12">
        <v>10</v>
      </c>
      <c r="F20" s="11" t="s">
        <v>158</v>
      </c>
      <c r="G20" s="11" t="s">
        <v>114</v>
      </c>
      <c r="H20" s="11" t="s">
        <v>37</v>
      </c>
      <c r="I20" s="11" t="s">
        <v>38</v>
      </c>
      <c r="J20" s="11" t="s">
        <v>38</v>
      </c>
      <c r="K20" s="11" t="s">
        <v>159</v>
      </c>
      <c r="L20" s="14">
        <v>10</v>
      </c>
      <c r="M20" s="15" t="s">
        <v>37</v>
      </c>
      <c r="N20" s="11" t="s">
        <v>38</v>
      </c>
      <c r="O20" s="11" t="s">
        <v>38</v>
      </c>
      <c r="P20" s="13">
        <v>10</v>
      </c>
      <c r="Q20" s="11" t="s">
        <v>37</v>
      </c>
      <c r="R20" s="11" t="s">
        <v>38</v>
      </c>
      <c r="S20" s="11" t="s">
        <v>37</v>
      </c>
      <c r="T20" s="11" t="s">
        <v>38</v>
      </c>
      <c r="U20" s="11" t="s">
        <v>40</v>
      </c>
      <c r="V20" s="11" t="s">
        <v>38</v>
      </c>
      <c r="W20" s="11" t="s">
        <v>38</v>
      </c>
      <c r="X20" s="11" t="s">
        <v>72</v>
      </c>
      <c r="Y20" s="13">
        <v>10</v>
      </c>
      <c r="Z20" s="11" t="s">
        <v>160</v>
      </c>
    </row>
    <row r="21" spans="1:26" s="9" customFormat="1" x14ac:dyDescent="0.25">
      <c r="A21" s="11"/>
      <c r="B21" s="11"/>
      <c r="C21" s="11" t="s">
        <v>79</v>
      </c>
      <c r="D21" s="11" t="s">
        <v>161</v>
      </c>
      <c r="E21" s="12">
        <v>3</v>
      </c>
      <c r="F21" s="11" t="s">
        <v>162</v>
      </c>
      <c r="G21" s="11" t="s">
        <v>163</v>
      </c>
      <c r="H21" s="11" t="s">
        <v>40</v>
      </c>
      <c r="I21" s="11" t="s">
        <v>164</v>
      </c>
      <c r="J21" s="11" t="s">
        <v>38</v>
      </c>
      <c r="K21" s="11" t="s">
        <v>165</v>
      </c>
      <c r="L21" s="14">
        <v>10</v>
      </c>
      <c r="M21" s="15" t="s">
        <v>37</v>
      </c>
      <c r="N21" s="11" t="s">
        <v>38</v>
      </c>
      <c r="O21" s="11" t="s">
        <v>38</v>
      </c>
      <c r="P21" s="13">
        <v>3</v>
      </c>
      <c r="Q21" s="11" t="s">
        <v>37</v>
      </c>
      <c r="R21" s="11" t="s">
        <v>38</v>
      </c>
      <c r="S21" s="11" t="s">
        <v>37</v>
      </c>
      <c r="T21" s="11" t="s">
        <v>38</v>
      </c>
      <c r="U21" s="11" t="s">
        <v>37</v>
      </c>
      <c r="V21" s="11" t="s">
        <v>166</v>
      </c>
      <c r="W21" s="11" t="s">
        <v>167</v>
      </c>
      <c r="X21" s="11" t="s">
        <v>72</v>
      </c>
      <c r="Y21" s="13">
        <v>2</v>
      </c>
      <c r="Z21" s="11" t="s">
        <v>168</v>
      </c>
    </row>
    <row r="22" spans="1:26" s="9" customFormat="1" x14ac:dyDescent="0.25">
      <c r="A22" s="11"/>
      <c r="B22" s="11"/>
      <c r="C22" s="11" t="s">
        <v>79</v>
      </c>
      <c r="D22" s="11" t="s">
        <v>169</v>
      </c>
      <c r="E22" s="12">
        <v>10</v>
      </c>
      <c r="F22" s="11" t="s">
        <v>170</v>
      </c>
      <c r="G22" s="11" t="s">
        <v>171</v>
      </c>
      <c r="H22" s="11" t="s">
        <v>37</v>
      </c>
      <c r="I22" s="11" t="s">
        <v>172</v>
      </c>
      <c r="J22" s="11" t="s">
        <v>173</v>
      </c>
      <c r="K22" s="11" t="s">
        <v>174</v>
      </c>
      <c r="L22" s="14">
        <v>10</v>
      </c>
      <c r="M22" s="15" t="s">
        <v>40</v>
      </c>
      <c r="N22" s="11" t="s">
        <v>175</v>
      </c>
      <c r="O22" s="11" t="s">
        <v>176</v>
      </c>
      <c r="P22" s="13">
        <v>10</v>
      </c>
      <c r="Q22" s="11" t="s">
        <v>37</v>
      </c>
      <c r="R22" s="11" t="s">
        <v>172</v>
      </c>
      <c r="S22" s="11" t="s">
        <v>37</v>
      </c>
      <c r="T22" s="11" t="s">
        <v>172</v>
      </c>
      <c r="U22" s="11" t="s">
        <v>40</v>
      </c>
      <c r="V22" s="11" t="s">
        <v>172</v>
      </c>
      <c r="W22" s="11" t="s">
        <v>177</v>
      </c>
      <c r="X22" s="11" t="s">
        <v>63</v>
      </c>
      <c r="Y22" s="13">
        <v>10</v>
      </c>
      <c r="Z22" s="11" t="s">
        <v>178</v>
      </c>
    </row>
    <row r="23" spans="1:26" s="9" customFormat="1" x14ac:dyDescent="0.25">
      <c r="A23" s="11"/>
      <c r="B23" s="11"/>
      <c r="C23" s="11" t="s">
        <v>33</v>
      </c>
      <c r="D23" s="11" t="s">
        <v>179</v>
      </c>
      <c r="E23" s="12">
        <v>7</v>
      </c>
      <c r="F23" s="11" t="s">
        <v>180</v>
      </c>
      <c r="G23" s="11" t="s">
        <v>181</v>
      </c>
      <c r="H23" s="11" t="s">
        <v>37</v>
      </c>
      <c r="I23" s="11" t="s">
        <v>38</v>
      </c>
      <c r="J23" s="11" t="s">
        <v>182</v>
      </c>
      <c r="K23" s="11" t="s">
        <v>182</v>
      </c>
      <c r="L23" s="14">
        <v>9</v>
      </c>
      <c r="M23" s="15" t="s">
        <v>37</v>
      </c>
      <c r="N23" s="11" t="s">
        <v>38</v>
      </c>
      <c r="O23" s="11" t="s">
        <v>182</v>
      </c>
      <c r="P23" s="13">
        <v>9</v>
      </c>
      <c r="Q23" s="11" t="s">
        <v>37</v>
      </c>
      <c r="R23" s="11" t="s">
        <v>38</v>
      </c>
      <c r="S23" s="11" t="s">
        <v>37</v>
      </c>
      <c r="T23" s="11" t="s">
        <v>38</v>
      </c>
      <c r="U23" s="11" t="s">
        <v>40</v>
      </c>
      <c r="V23" s="11" t="s">
        <v>38</v>
      </c>
      <c r="W23" s="11" t="s">
        <v>182</v>
      </c>
      <c r="X23" s="11" t="s">
        <v>63</v>
      </c>
      <c r="Y23" s="13">
        <v>10</v>
      </c>
      <c r="Z23" s="11" t="s">
        <v>183</v>
      </c>
    </row>
    <row r="24" spans="1:26" s="9" customFormat="1" x14ac:dyDescent="0.25">
      <c r="A24" s="11"/>
      <c r="B24" s="11"/>
      <c r="C24" s="11" t="s">
        <v>124</v>
      </c>
      <c r="D24" s="11" t="s">
        <v>184</v>
      </c>
      <c r="E24" s="12">
        <v>8</v>
      </c>
      <c r="F24" s="11" t="s">
        <v>185</v>
      </c>
      <c r="G24" s="11" t="s">
        <v>186</v>
      </c>
      <c r="H24" s="11" t="s">
        <v>37</v>
      </c>
      <c r="I24" s="11" t="s">
        <v>38</v>
      </c>
      <c r="J24" s="11" t="s">
        <v>38</v>
      </c>
      <c r="K24" s="11" t="s">
        <v>38</v>
      </c>
      <c r="L24" s="14">
        <v>8</v>
      </c>
      <c r="M24" s="15" t="s">
        <v>37</v>
      </c>
      <c r="N24" s="11" t="s">
        <v>38</v>
      </c>
      <c r="O24" s="11" t="s">
        <v>38</v>
      </c>
      <c r="P24" s="13">
        <v>9</v>
      </c>
      <c r="Q24" s="11" t="s">
        <v>37</v>
      </c>
      <c r="R24" s="11" t="s">
        <v>38</v>
      </c>
      <c r="S24" s="11" t="s">
        <v>37</v>
      </c>
      <c r="T24" s="11" t="s">
        <v>38</v>
      </c>
      <c r="U24" s="11" t="s">
        <v>40</v>
      </c>
      <c r="V24" s="11" t="s">
        <v>38</v>
      </c>
      <c r="W24" s="11" t="s">
        <v>38</v>
      </c>
      <c r="X24" s="11" t="s">
        <v>63</v>
      </c>
      <c r="Y24" s="13">
        <v>10</v>
      </c>
      <c r="Z24" s="11" t="s">
        <v>38</v>
      </c>
    </row>
    <row r="25" spans="1:26" s="9" customFormat="1" x14ac:dyDescent="0.25">
      <c r="A25" s="11"/>
      <c r="B25" s="11"/>
      <c r="C25" s="11" t="s">
        <v>33</v>
      </c>
      <c r="D25" s="11" t="s">
        <v>187</v>
      </c>
      <c r="E25" s="12">
        <v>10</v>
      </c>
      <c r="F25" s="11" t="s">
        <v>188</v>
      </c>
      <c r="G25" s="11" t="s">
        <v>120</v>
      </c>
      <c r="H25" s="11" t="s">
        <v>37</v>
      </c>
      <c r="I25" s="11" t="s">
        <v>189</v>
      </c>
      <c r="J25" s="11" t="s">
        <v>190</v>
      </c>
      <c r="K25" s="11" t="s">
        <v>38</v>
      </c>
      <c r="L25" s="14">
        <v>10</v>
      </c>
      <c r="M25" s="15" t="s">
        <v>37</v>
      </c>
      <c r="N25" s="11" t="s">
        <v>38</v>
      </c>
      <c r="O25" s="11" t="s">
        <v>38</v>
      </c>
      <c r="P25" s="13">
        <v>10</v>
      </c>
      <c r="Q25" s="11" t="s">
        <v>37</v>
      </c>
      <c r="R25" s="11" t="s">
        <v>38</v>
      </c>
      <c r="S25" s="11" t="s">
        <v>37</v>
      </c>
      <c r="T25" s="11" t="s">
        <v>38</v>
      </c>
      <c r="U25" s="11" t="s">
        <v>40</v>
      </c>
      <c r="V25" s="11" t="s">
        <v>38</v>
      </c>
      <c r="W25" s="11" t="s">
        <v>191</v>
      </c>
      <c r="X25" s="11" t="s">
        <v>63</v>
      </c>
      <c r="Y25" s="13">
        <v>10</v>
      </c>
      <c r="Z25" s="11" t="s">
        <v>38</v>
      </c>
    </row>
    <row r="26" spans="1:26" s="9" customFormat="1" x14ac:dyDescent="0.25">
      <c r="A26" s="11"/>
      <c r="B26" s="11"/>
      <c r="C26" s="11" t="s">
        <v>124</v>
      </c>
      <c r="D26" s="11" t="s">
        <v>192</v>
      </c>
      <c r="E26" s="12">
        <v>10</v>
      </c>
      <c r="F26" s="11" t="s">
        <v>38</v>
      </c>
      <c r="G26" s="11" t="s">
        <v>38</v>
      </c>
      <c r="H26" s="11" t="s">
        <v>37</v>
      </c>
      <c r="I26" s="11" t="s">
        <v>38</v>
      </c>
      <c r="J26" s="11" t="s">
        <v>38</v>
      </c>
      <c r="K26" s="11" t="s">
        <v>38</v>
      </c>
      <c r="L26" s="14">
        <v>10</v>
      </c>
      <c r="M26" s="15" t="s">
        <v>37</v>
      </c>
      <c r="N26" s="11" t="s">
        <v>38</v>
      </c>
      <c r="O26" s="11" t="s">
        <v>38</v>
      </c>
      <c r="P26" s="13">
        <v>10</v>
      </c>
      <c r="Q26" s="11" t="s">
        <v>37</v>
      </c>
      <c r="R26" s="11" t="s">
        <v>38</v>
      </c>
      <c r="S26" s="11" t="s">
        <v>37</v>
      </c>
      <c r="T26" s="11" t="s">
        <v>38</v>
      </c>
      <c r="U26" s="11" t="s">
        <v>40</v>
      </c>
      <c r="V26" s="11" t="s">
        <v>38</v>
      </c>
      <c r="W26" s="11" t="s">
        <v>38</v>
      </c>
      <c r="X26" s="11" t="s">
        <v>42</v>
      </c>
      <c r="Y26" s="13">
        <v>10</v>
      </c>
      <c r="Z26" s="11" t="s">
        <v>38</v>
      </c>
    </row>
    <row r="27" spans="1:26" s="9" customFormat="1" x14ac:dyDescent="0.25">
      <c r="A27" s="11"/>
      <c r="B27" s="11"/>
      <c r="C27" s="11" t="s">
        <v>124</v>
      </c>
      <c r="D27" s="11" t="s">
        <v>193</v>
      </c>
      <c r="E27" s="12">
        <v>7</v>
      </c>
      <c r="F27" s="11" t="s">
        <v>194</v>
      </c>
      <c r="G27" s="11" t="s">
        <v>195</v>
      </c>
      <c r="H27" s="11" t="s">
        <v>40</v>
      </c>
      <c r="I27" s="11" t="s">
        <v>196</v>
      </c>
      <c r="J27" s="11" t="s">
        <v>197</v>
      </c>
      <c r="K27" s="11" t="s">
        <v>38</v>
      </c>
      <c r="L27" s="14">
        <v>8</v>
      </c>
      <c r="M27" s="15" t="s">
        <v>37</v>
      </c>
      <c r="N27" s="11" t="s">
        <v>38</v>
      </c>
      <c r="O27" s="11" t="s">
        <v>198</v>
      </c>
      <c r="P27" s="13">
        <v>10</v>
      </c>
      <c r="Q27" s="11" t="s">
        <v>37</v>
      </c>
      <c r="R27" s="11" t="s">
        <v>38</v>
      </c>
      <c r="S27" s="11" t="s">
        <v>37</v>
      </c>
      <c r="T27" s="11" t="s">
        <v>38</v>
      </c>
      <c r="U27" s="11" t="s">
        <v>40</v>
      </c>
      <c r="V27" s="11" t="s">
        <v>38</v>
      </c>
      <c r="W27" s="11" t="s">
        <v>199</v>
      </c>
      <c r="X27" s="11" t="s">
        <v>63</v>
      </c>
      <c r="Y27" s="13">
        <v>10</v>
      </c>
      <c r="Z27" s="11" t="s">
        <v>200</v>
      </c>
    </row>
    <row r="28" spans="1:26" s="9" customFormat="1" x14ac:dyDescent="0.25">
      <c r="A28" s="11"/>
      <c r="B28" s="11"/>
      <c r="C28" s="11" t="s">
        <v>124</v>
      </c>
      <c r="D28" s="11" t="s">
        <v>201</v>
      </c>
      <c r="E28" s="12">
        <v>10</v>
      </c>
      <c r="F28" s="11" t="s">
        <v>202</v>
      </c>
      <c r="G28" s="11" t="s">
        <v>203</v>
      </c>
      <c r="H28" s="11" t="s">
        <v>37</v>
      </c>
      <c r="I28" s="11" t="s">
        <v>38</v>
      </c>
      <c r="J28" s="11" t="s">
        <v>204</v>
      </c>
      <c r="K28" s="11" t="s">
        <v>205</v>
      </c>
      <c r="L28" s="14">
        <v>10</v>
      </c>
      <c r="M28" s="15" t="s">
        <v>37</v>
      </c>
      <c r="N28" s="11" t="s">
        <v>38</v>
      </c>
      <c r="O28" s="11" t="s">
        <v>37</v>
      </c>
      <c r="P28" s="13">
        <v>10</v>
      </c>
      <c r="Q28" s="11" t="s">
        <v>37</v>
      </c>
      <c r="R28" s="11" t="s">
        <v>38</v>
      </c>
      <c r="S28" s="11" t="s">
        <v>37</v>
      </c>
      <c r="T28" s="11" t="s">
        <v>38</v>
      </c>
      <c r="U28" s="11" t="s">
        <v>37</v>
      </c>
      <c r="V28" s="11" t="s">
        <v>38</v>
      </c>
      <c r="W28" s="11" t="s">
        <v>206</v>
      </c>
      <c r="X28" s="11" t="s">
        <v>72</v>
      </c>
      <c r="Y28" s="13">
        <v>10</v>
      </c>
      <c r="Z28" s="11" t="s">
        <v>207</v>
      </c>
    </row>
    <row r="29" spans="1:26" s="9" customFormat="1" x14ac:dyDescent="0.25">
      <c r="A29" s="11"/>
      <c r="B29" s="11"/>
      <c r="C29" s="11" t="s">
        <v>33</v>
      </c>
      <c r="D29" s="11" t="s">
        <v>208</v>
      </c>
      <c r="E29" s="12">
        <v>10</v>
      </c>
      <c r="F29" s="11" t="s">
        <v>209</v>
      </c>
      <c r="G29" s="11" t="s">
        <v>210</v>
      </c>
      <c r="H29" s="11" t="s">
        <v>37</v>
      </c>
      <c r="I29" s="11" t="s">
        <v>38</v>
      </c>
      <c r="J29" s="11" t="s">
        <v>38</v>
      </c>
      <c r="K29" s="11" t="s">
        <v>38</v>
      </c>
      <c r="L29" s="14">
        <v>9</v>
      </c>
      <c r="M29" s="15" t="s">
        <v>37</v>
      </c>
      <c r="N29" s="11" t="s">
        <v>38</v>
      </c>
      <c r="O29" s="11" t="s">
        <v>38</v>
      </c>
      <c r="P29" s="13">
        <v>8</v>
      </c>
      <c r="Q29" s="11" t="s">
        <v>37</v>
      </c>
      <c r="R29" s="11" t="s">
        <v>38</v>
      </c>
      <c r="S29" s="11" t="s">
        <v>37</v>
      </c>
      <c r="T29" s="11" t="s">
        <v>38</v>
      </c>
      <c r="U29" s="11" t="s">
        <v>40</v>
      </c>
      <c r="V29" s="11" t="s">
        <v>38</v>
      </c>
      <c r="W29" s="11" t="s">
        <v>38</v>
      </c>
      <c r="X29" s="11" t="s">
        <v>72</v>
      </c>
      <c r="Y29" s="13">
        <v>10</v>
      </c>
      <c r="Z29" s="11" t="s">
        <v>211</v>
      </c>
    </row>
    <row r="30" spans="1:26" s="9" customFormat="1" x14ac:dyDescent="0.25">
      <c r="A30" s="11"/>
      <c r="B30" s="11"/>
      <c r="C30" s="11" t="s">
        <v>124</v>
      </c>
      <c r="D30" s="11" t="s">
        <v>212</v>
      </c>
      <c r="E30" s="12">
        <v>8</v>
      </c>
      <c r="F30" s="11" t="s">
        <v>213</v>
      </c>
      <c r="G30" s="11" t="s">
        <v>214</v>
      </c>
      <c r="H30" s="11" t="s">
        <v>40</v>
      </c>
      <c r="I30" s="11" t="s">
        <v>215</v>
      </c>
      <c r="J30" s="11" t="s">
        <v>216</v>
      </c>
      <c r="K30" s="11" t="s">
        <v>217</v>
      </c>
      <c r="L30" s="14">
        <v>9</v>
      </c>
      <c r="M30" s="15" t="s">
        <v>37</v>
      </c>
      <c r="N30" s="11" t="s">
        <v>38</v>
      </c>
      <c r="O30" s="11" t="s">
        <v>218</v>
      </c>
      <c r="P30" s="13">
        <v>5</v>
      </c>
      <c r="Q30" s="11" t="s">
        <v>40</v>
      </c>
      <c r="R30" s="11" t="s">
        <v>219</v>
      </c>
      <c r="S30" s="11" t="s">
        <v>37</v>
      </c>
      <c r="T30" s="11" t="s">
        <v>38</v>
      </c>
      <c r="U30" s="11" t="s">
        <v>37</v>
      </c>
      <c r="V30" s="11" t="s">
        <v>220</v>
      </c>
      <c r="W30" s="11" t="s">
        <v>221</v>
      </c>
      <c r="X30" s="11" t="s">
        <v>42</v>
      </c>
      <c r="Y30" s="13">
        <v>10</v>
      </c>
      <c r="Z30" s="11" t="s">
        <v>222</v>
      </c>
    </row>
    <row r="31" spans="1:26" s="9" customFormat="1" x14ac:dyDescent="0.25">
      <c r="A31" s="11"/>
      <c r="B31" s="11"/>
      <c r="C31" s="11" t="s">
        <v>124</v>
      </c>
      <c r="D31" s="11" t="s">
        <v>223</v>
      </c>
      <c r="E31" s="12">
        <v>10</v>
      </c>
      <c r="F31" s="11" t="s">
        <v>224</v>
      </c>
      <c r="G31" s="11" t="s">
        <v>224</v>
      </c>
      <c r="H31" s="11" t="s">
        <v>37</v>
      </c>
      <c r="I31" s="11" t="s">
        <v>38</v>
      </c>
      <c r="J31" s="11" t="s">
        <v>38</v>
      </c>
      <c r="K31" s="11" t="s">
        <v>38</v>
      </c>
      <c r="L31" s="14">
        <v>10</v>
      </c>
      <c r="M31" s="15" t="s">
        <v>37</v>
      </c>
      <c r="N31" s="11" t="s">
        <v>38</v>
      </c>
      <c r="O31" s="11" t="s">
        <v>225</v>
      </c>
      <c r="P31" s="13">
        <v>10</v>
      </c>
      <c r="Q31" s="11" t="s">
        <v>37</v>
      </c>
      <c r="R31" s="11" t="s">
        <v>38</v>
      </c>
      <c r="S31" s="11" t="s">
        <v>37</v>
      </c>
      <c r="T31" s="11" t="s">
        <v>38</v>
      </c>
      <c r="U31" s="11" t="s">
        <v>40</v>
      </c>
      <c r="V31" s="11" t="s">
        <v>38</v>
      </c>
      <c r="W31" s="11" t="s">
        <v>226</v>
      </c>
      <c r="X31" s="11" t="s">
        <v>63</v>
      </c>
      <c r="Y31" s="13">
        <v>10</v>
      </c>
      <c r="Z31" s="11" t="s">
        <v>227</v>
      </c>
    </row>
    <row r="32" spans="1:26" s="9" customFormat="1" x14ac:dyDescent="0.25">
      <c r="A32" s="11"/>
      <c r="B32" s="11"/>
      <c r="C32" s="11" t="s">
        <v>33</v>
      </c>
      <c r="D32" s="11" t="s">
        <v>187</v>
      </c>
      <c r="E32" s="12">
        <v>10</v>
      </c>
      <c r="F32" s="11" t="s">
        <v>228</v>
      </c>
      <c r="G32" s="11" t="s">
        <v>229</v>
      </c>
      <c r="H32" s="11" t="s">
        <v>44</v>
      </c>
      <c r="I32" s="11" t="s">
        <v>38</v>
      </c>
      <c r="J32" s="11" t="s">
        <v>230</v>
      </c>
      <c r="K32" s="11" t="s">
        <v>231</v>
      </c>
      <c r="L32" s="14">
        <v>8</v>
      </c>
      <c r="M32" s="15" t="s">
        <v>37</v>
      </c>
      <c r="N32" s="11" t="s">
        <v>231</v>
      </c>
      <c r="O32" s="11" t="s">
        <v>231</v>
      </c>
      <c r="P32" s="13">
        <v>10</v>
      </c>
      <c r="Q32" s="11" t="s">
        <v>37</v>
      </c>
      <c r="R32" s="11" t="s">
        <v>38</v>
      </c>
      <c r="S32" s="11" t="s">
        <v>37</v>
      </c>
      <c r="T32" s="11" t="s">
        <v>38</v>
      </c>
      <c r="U32" s="11" t="s">
        <v>40</v>
      </c>
      <c r="V32" s="11" t="s">
        <v>38</v>
      </c>
      <c r="W32" s="11" t="s">
        <v>38</v>
      </c>
      <c r="X32" s="11" t="s">
        <v>63</v>
      </c>
      <c r="Y32" s="13">
        <v>10</v>
      </c>
      <c r="Z32" s="11" t="s">
        <v>232</v>
      </c>
    </row>
    <row r="33" spans="1:26" s="9" customFormat="1" x14ac:dyDescent="0.25">
      <c r="A33" s="11"/>
      <c r="B33" s="11"/>
      <c r="C33" s="11" t="s">
        <v>33</v>
      </c>
      <c r="D33" s="11" t="s">
        <v>233</v>
      </c>
      <c r="E33" s="12">
        <v>10</v>
      </c>
      <c r="F33" s="11" t="s">
        <v>234</v>
      </c>
      <c r="G33" s="11" t="s">
        <v>235</v>
      </c>
      <c r="H33" s="11" t="s">
        <v>37</v>
      </c>
      <c r="I33" s="11" t="s">
        <v>38</v>
      </c>
      <c r="J33" s="11" t="s">
        <v>236</v>
      </c>
      <c r="K33" s="11" t="s">
        <v>237</v>
      </c>
      <c r="L33" s="14">
        <v>10</v>
      </c>
      <c r="M33" s="15" t="s">
        <v>37</v>
      </c>
      <c r="N33" s="11" t="s">
        <v>38</v>
      </c>
      <c r="O33" s="11" t="s">
        <v>38</v>
      </c>
      <c r="P33" s="13">
        <v>10</v>
      </c>
      <c r="Q33" s="11" t="s">
        <v>37</v>
      </c>
      <c r="R33" s="11" t="s">
        <v>38</v>
      </c>
      <c r="S33" s="11" t="s">
        <v>37</v>
      </c>
      <c r="T33" s="11" t="s">
        <v>38</v>
      </c>
      <c r="U33" s="11" t="s">
        <v>40</v>
      </c>
      <c r="V33" s="11" t="s">
        <v>38</v>
      </c>
      <c r="W33" s="11" t="s">
        <v>238</v>
      </c>
      <c r="X33" s="11" t="s">
        <v>42</v>
      </c>
      <c r="Y33" s="13">
        <v>10</v>
      </c>
      <c r="Z33" s="11" t="s">
        <v>239</v>
      </c>
    </row>
    <row r="34" spans="1:26" s="9" customFormat="1" x14ac:dyDescent="0.25">
      <c r="A34" s="11"/>
      <c r="B34" s="11"/>
      <c r="C34" s="11" t="s">
        <v>33</v>
      </c>
      <c r="D34" s="11" t="s">
        <v>240</v>
      </c>
      <c r="E34" s="12">
        <v>10</v>
      </c>
      <c r="F34" s="11" t="s">
        <v>241</v>
      </c>
      <c r="G34" s="11" t="s">
        <v>242</v>
      </c>
      <c r="H34" s="11" t="s">
        <v>37</v>
      </c>
      <c r="I34" s="11" t="s">
        <v>38</v>
      </c>
      <c r="J34" s="11" t="s">
        <v>38</v>
      </c>
      <c r="K34" s="11" t="s">
        <v>38</v>
      </c>
      <c r="L34" s="14">
        <v>10</v>
      </c>
      <c r="M34" s="15" t="s">
        <v>37</v>
      </c>
      <c r="N34" s="11" t="s">
        <v>38</v>
      </c>
      <c r="O34" s="11" t="s">
        <v>243</v>
      </c>
      <c r="P34" s="13">
        <v>10</v>
      </c>
      <c r="Q34" s="11" t="s">
        <v>37</v>
      </c>
      <c r="R34" s="11" t="s">
        <v>38</v>
      </c>
      <c r="S34" s="11" t="s">
        <v>37</v>
      </c>
      <c r="T34" s="11" t="s">
        <v>38</v>
      </c>
      <c r="U34" s="11" t="s">
        <v>40</v>
      </c>
      <c r="V34" s="11" t="s">
        <v>38</v>
      </c>
      <c r="W34" s="11" t="s">
        <v>38</v>
      </c>
      <c r="X34" s="11" t="s">
        <v>63</v>
      </c>
      <c r="Y34" s="13">
        <v>10</v>
      </c>
      <c r="Z34" s="11" t="s">
        <v>244</v>
      </c>
    </row>
    <row r="35" spans="1:26" s="9" customFormat="1" x14ac:dyDescent="0.25">
      <c r="A35" s="11"/>
      <c r="B35" s="11"/>
      <c r="C35" s="11" t="s">
        <v>33</v>
      </c>
      <c r="D35" s="11" t="s">
        <v>245</v>
      </c>
      <c r="E35" s="12">
        <v>7</v>
      </c>
      <c r="F35" s="11" t="s">
        <v>246</v>
      </c>
      <c r="G35" s="11" t="s">
        <v>247</v>
      </c>
      <c r="H35" s="11" t="s">
        <v>37</v>
      </c>
      <c r="I35" s="11" t="s">
        <v>38</v>
      </c>
      <c r="J35" s="11" t="s">
        <v>248</v>
      </c>
      <c r="K35" s="11" t="s">
        <v>249</v>
      </c>
      <c r="L35" s="14">
        <v>7</v>
      </c>
      <c r="M35" s="15" t="s">
        <v>37</v>
      </c>
      <c r="N35" s="11" t="s">
        <v>38</v>
      </c>
      <c r="O35" s="11" t="s">
        <v>250</v>
      </c>
      <c r="P35" s="13">
        <v>8</v>
      </c>
      <c r="Q35" s="11" t="s">
        <v>37</v>
      </c>
      <c r="R35" s="11" t="s">
        <v>38</v>
      </c>
      <c r="S35" s="11" t="s">
        <v>37</v>
      </c>
      <c r="T35" s="11" t="s">
        <v>38</v>
      </c>
      <c r="U35" s="11" t="s">
        <v>40</v>
      </c>
      <c r="V35" s="11" t="s">
        <v>38</v>
      </c>
      <c r="W35" s="11" t="s">
        <v>251</v>
      </c>
      <c r="X35" s="11" t="s">
        <v>63</v>
      </c>
      <c r="Y35" s="13">
        <v>10</v>
      </c>
      <c r="Z35" s="11" t="s">
        <v>252</v>
      </c>
    </row>
    <row r="36" spans="1:26" s="9" customFormat="1" x14ac:dyDescent="0.25">
      <c r="A36" s="11"/>
      <c r="B36" s="11"/>
      <c r="C36" s="11" t="s">
        <v>124</v>
      </c>
      <c r="D36" s="11" t="s">
        <v>253</v>
      </c>
      <c r="E36" s="12">
        <v>10</v>
      </c>
      <c r="F36" s="11" t="s">
        <v>254</v>
      </c>
      <c r="G36" s="11" t="s">
        <v>255</v>
      </c>
      <c r="H36" s="11" t="s">
        <v>37</v>
      </c>
      <c r="I36" s="11" t="s">
        <v>38</v>
      </c>
      <c r="J36" s="11" t="s">
        <v>189</v>
      </c>
      <c r="K36" s="11" t="s">
        <v>189</v>
      </c>
      <c r="L36" s="14">
        <v>9</v>
      </c>
      <c r="M36" s="15" t="s">
        <v>37</v>
      </c>
      <c r="N36" s="11" t="s">
        <v>38</v>
      </c>
      <c r="O36" s="11" t="s">
        <v>256</v>
      </c>
      <c r="P36" s="13">
        <v>9</v>
      </c>
      <c r="Q36" s="11" t="s">
        <v>37</v>
      </c>
      <c r="R36" s="11" t="s">
        <v>38</v>
      </c>
      <c r="S36" s="11" t="s">
        <v>37</v>
      </c>
      <c r="T36" s="11" t="s">
        <v>38</v>
      </c>
      <c r="U36" s="11" t="s">
        <v>40</v>
      </c>
      <c r="V36" s="11" t="s">
        <v>38</v>
      </c>
      <c r="W36" s="11" t="s">
        <v>189</v>
      </c>
      <c r="X36" s="11" t="s">
        <v>63</v>
      </c>
      <c r="Y36" s="13">
        <v>10</v>
      </c>
      <c r="Z36" s="11" t="s">
        <v>257</v>
      </c>
    </row>
    <row r="37" spans="1:26" s="9" customFormat="1" x14ac:dyDescent="0.25">
      <c r="A37" s="11"/>
      <c r="B37" s="11"/>
      <c r="C37" s="11" t="s">
        <v>124</v>
      </c>
      <c r="D37" s="11" t="s">
        <v>258</v>
      </c>
      <c r="E37" s="12">
        <v>7</v>
      </c>
      <c r="F37" s="11" t="s">
        <v>38</v>
      </c>
      <c r="G37" s="11" t="s">
        <v>38</v>
      </c>
      <c r="H37" s="11" t="s">
        <v>40</v>
      </c>
      <c r="I37" s="11" t="s">
        <v>38</v>
      </c>
      <c r="J37" s="11" t="s">
        <v>259</v>
      </c>
      <c r="K37" s="11" t="s">
        <v>38</v>
      </c>
      <c r="L37" s="14">
        <v>7</v>
      </c>
      <c r="M37" s="15" t="s">
        <v>37</v>
      </c>
      <c r="N37" s="11" t="s">
        <v>38</v>
      </c>
      <c r="O37" s="11" t="s">
        <v>38</v>
      </c>
      <c r="P37" s="13">
        <v>5</v>
      </c>
      <c r="Q37" s="11" t="s">
        <v>40</v>
      </c>
      <c r="R37" s="11" t="s">
        <v>38</v>
      </c>
      <c r="S37" s="11" t="s">
        <v>37</v>
      </c>
      <c r="T37" s="11" t="s">
        <v>38</v>
      </c>
      <c r="U37" s="11" t="s">
        <v>40</v>
      </c>
      <c r="V37" s="11" t="s">
        <v>38</v>
      </c>
      <c r="W37" s="11" t="s">
        <v>38</v>
      </c>
      <c r="X37" s="11" t="s">
        <v>63</v>
      </c>
      <c r="Y37" s="13">
        <v>10</v>
      </c>
      <c r="Z37" s="11" t="s">
        <v>38</v>
      </c>
    </row>
    <row r="38" spans="1:26" s="9" customFormat="1" x14ac:dyDescent="0.25">
      <c r="A38" s="11"/>
      <c r="B38" s="11"/>
      <c r="C38" s="11" t="s">
        <v>79</v>
      </c>
      <c r="D38" s="11" t="s">
        <v>260</v>
      </c>
      <c r="E38" s="12">
        <v>10</v>
      </c>
      <c r="F38" s="11" t="s">
        <v>261</v>
      </c>
      <c r="G38" s="11" t="s">
        <v>262</v>
      </c>
      <c r="H38" s="11" t="s">
        <v>37</v>
      </c>
      <c r="I38" s="11" t="s">
        <v>38</v>
      </c>
      <c r="J38" s="11" t="s">
        <v>38</v>
      </c>
      <c r="K38" s="11" t="s">
        <v>263</v>
      </c>
      <c r="L38" s="14">
        <v>10</v>
      </c>
      <c r="M38" s="15" t="s">
        <v>37</v>
      </c>
      <c r="N38" s="11" t="s">
        <v>38</v>
      </c>
      <c r="O38" s="11" t="s">
        <v>38</v>
      </c>
      <c r="P38" s="13">
        <v>10</v>
      </c>
      <c r="Q38" s="11" t="s">
        <v>37</v>
      </c>
      <c r="R38" s="11" t="s">
        <v>38</v>
      </c>
      <c r="S38" s="11" t="s">
        <v>37</v>
      </c>
      <c r="T38" s="11" t="s">
        <v>38</v>
      </c>
      <c r="U38" s="11" t="s">
        <v>40</v>
      </c>
      <c r="V38" s="11" t="s">
        <v>38</v>
      </c>
      <c r="W38" s="11" t="s">
        <v>38</v>
      </c>
      <c r="X38" s="11" t="s">
        <v>42</v>
      </c>
      <c r="Y38" s="13">
        <v>10</v>
      </c>
      <c r="Z38" s="11" t="s">
        <v>38</v>
      </c>
    </row>
    <row r="39" spans="1:26" s="9" customFormat="1" x14ac:dyDescent="0.25">
      <c r="A39" s="11"/>
      <c r="B39" s="11"/>
      <c r="C39" s="11" t="s">
        <v>264</v>
      </c>
      <c r="D39" s="11" t="s">
        <v>153</v>
      </c>
      <c r="E39" s="12">
        <v>10</v>
      </c>
      <c r="F39" s="11" t="s">
        <v>265</v>
      </c>
      <c r="G39" s="11" t="s">
        <v>266</v>
      </c>
      <c r="H39" s="11" t="s">
        <v>37</v>
      </c>
      <c r="I39" s="11" t="s">
        <v>38</v>
      </c>
      <c r="J39" s="11" t="s">
        <v>267</v>
      </c>
      <c r="K39" s="11" t="s">
        <v>268</v>
      </c>
      <c r="L39" s="14">
        <v>10</v>
      </c>
      <c r="M39" s="15" t="s">
        <v>37</v>
      </c>
      <c r="N39" s="11" t="s">
        <v>38</v>
      </c>
      <c r="O39" s="11" t="s">
        <v>269</v>
      </c>
      <c r="P39" s="13">
        <v>10</v>
      </c>
      <c r="Q39" s="11" t="s">
        <v>37</v>
      </c>
      <c r="R39" s="11" t="s">
        <v>38</v>
      </c>
      <c r="S39" s="11" t="s">
        <v>37</v>
      </c>
      <c r="T39" s="11" t="s">
        <v>38</v>
      </c>
      <c r="U39" s="11" t="s">
        <v>40</v>
      </c>
      <c r="V39" s="11" t="s">
        <v>38</v>
      </c>
      <c r="W39" s="11" t="s">
        <v>270</v>
      </c>
      <c r="X39" s="11" t="s">
        <v>63</v>
      </c>
      <c r="Y39" s="13">
        <v>10</v>
      </c>
      <c r="Z39" s="11" t="s">
        <v>271</v>
      </c>
    </row>
    <row r="40" spans="1:26" s="9" customFormat="1" x14ac:dyDescent="0.25">
      <c r="A40" s="11"/>
      <c r="B40" s="11"/>
      <c r="C40" s="11" t="s">
        <v>33</v>
      </c>
      <c r="D40" s="11" t="s">
        <v>153</v>
      </c>
      <c r="E40" s="12">
        <v>10</v>
      </c>
      <c r="F40" s="11" t="s">
        <v>120</v>
      </c>
      <c r="G40" s="11" t="s">
        <v>120</v>
      </c>
      <c r="H40" s="11" t="s">
        <v>37</v>
      </c>
      <c r="I40" s="11" t="s">
        <v>38</v>
      </c>
      <c r="J40" s="11" t="s">
        <v>83</v>
      </c>
      <c r="K40" s="11" t="s">
        <v>272</v>
      </c>
      <c r="L40" s="14">
        <v>10</v>
      </c>
      <c r="M40" s="15" t="s">
        <v>37</v>
      </c>
      <c r="N40" s="11" t="s">
        <v>38</v>
      </c>
      <c r="O40" s="11" t="s">
        <v>85</v>
      </c>
      <c r="P40" s="13">
        <v>10</v>
      </c>
      <c r="Q40" s="11" t="s">
        <v>37</v>
      </c>
      <c r="R40" s="11" t="s">
        <v>38</v>
      </c>
      <c r="S40" s="11" t="s">
        <v>37</v>
      </c>
      <c r="T40" s="11" t="s">
        <v>38</v>
      </c>
      <c r="U40" s="11" t="s">
        <v>40</v>
      </c>
      <c r="V40" s="11" t="s">
        <v>38</v>
      </c>
      <c r="W40" s="11" t="s">
        <v>273</v>
      </c>
      <c r="X40" s="11" t="s">
        <v>72</v>
      </c>
      <c r="Y40" s="13">
        <v>10</v>
      </c>
      <c r="Z40" s="11" t="s">
        <v>274</v>
      </c>
    </row>
    <row r="41" spans="1:26" s="9" customFormat="1" x14ac:dyDescent="0.25">
      <c r="A41" s="11"/>
      <c r="B41" s="11"/>
      <c r="C41" s="11" t="s">
        <v>124</v>
      </c>
      <c r="D41" s="11" t="s">
        <v>275</v>
      </c>
      <c r="E41" s="12">
        <v>9</v>
      </c>
      <c r="F41" s="11" t="s">
        <v>276</v>
      </c>
      <c r="G41" s="11" t="s">
        <v>277</v>
      </c>
      <c r="H41" s="11" t="s">
        <v>37</v>
      </c>
      <c r="I41" s="11" t="s">
        <v>38</v>
      </c>
      <c r="J41" s="11" t="s">
        <v>278</v>
      </c>
      <c r="K41" s="11" t="s">
        <v>279</v>
      </c>
      <c r="L41" s="12">
        <v>8</v>
      </c>
      <c r="M41" s="11" t="s">
        <v>37</v>
      </c>
      <c r="N41" s="11" t="s">
        <v>38</v>
      </c>
      <c r="O41" s="11" t="s">
        <v>269</v>
      </c>
      <c r="P41" s="13">
        <v>5</v>
      </c>
      <c r="Q41" s="11" t="s">
        <v>37</v>
      </c>
      <c r="R41" s="11" t="s">
        <v>38</v>
      </c>
      <c r="S41" s="11" t="s">
        <v>37</v>
      </c>
      <c r="T41" s="11" t="s">
        <v>38</v>
      </c>
      <c r="U41" s="11" t="s">
        <v>40</v>
      </c>
      <c r="V41" s="11" t="s">
        <v>38</v>
      </c>
      <c r="W41" s="11" t="s">
        <v>280</v>
      </c>
      <c r="X41" s="11" t="s">
        <v>63</v>
      </c>
      <c r="Y41" s="13">
        <v>10</v>
      </c>
      <c r="Z41" s="11" t="s">
        <v>281</v>
      </c>
    </row>
    <row r="42" spans="1:26" s="9" customFormat="1" x14ac:dyDescent="0.25">
      <c r="A42" s="11"/>
      <c r="B42" s="11"/>
      <c r="C42" s="11" t="s">
        <v>124</v>
      </c>
      <c r="D42" s="11" t="s">
        <v>282</v>
      </c>
      <c r="E42" s="12">
        <v>10</v>
      </c>
      <c r="F42" s="11" t="s">
        <v>114</v>
      </c>
      <c r="G42" s="11" t="s">
        <v>283</v>
      </c>
      <c r="H42" s="11" t="s">
        <v>37</v>
      </c>
      <c r="I42" s="11" t="s">
        <v>38</v>
      </c>
      <c r="J42" s="11" t="s">
        <v>38</v>
      </c>
      <c r="K42" s="11" t="s">
        <v>38</v>
      </c>
      <c r="L42" s="12">
        <v>8</v>
      </c>
      <c r="M42" s="11" t="s">
        <v>37</v>
      </c>
      <c r="N42" s="11" t="s">
        <v>284</v>
      </c>
      <c r="O42" s="11" t="s">
        <v>285</v>
      </c>
      <c r="P42" s="13">
        <v>8</v>
      </c>
      <c r="Q42" s="11" t="s">
        <v>37</v>
      </c>
      <c r="R42" s="11" t="s">
        <v>38</v>
      </c>
      <c r="S42" s="11" t="s">
        <v>40</v>
      </c>
      <c r="T42" s="11" t="s">
        <v>286</v>
      </c>
      <c r="U42" s="11" t="s">
        <v>37</v>
      </c>
      <c r="V42" s="11" t="s">
        <v>287</v>
      </c>
      <c r="W42" s="11" t="s">
        <v>288</v>
      </c>
      <c r="X42" s="11" t="s">
        <v>42</v>
      </c>
      <c r="Y42" s="13">
        <v>10</v>
      </c>
      <c r="Z42" s="11" t="s">
        <v>289</v>
      </c>
    </row>
    <row r="43" spans="1:26" s="9" customFormat="1" x14ac:dyDescent="0.25">
      <c r="E43" s="10"/>
    </row>
  </sheetData>
  <autoFilter ref="A1:Z3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4"/>
  <sheetViews>
    <sheetView workbookViewId="0">
      <selection activeCell="G23" sqref="G23"/>
    </sheetView>
  </sheetViews>
  <sheetFormatPr defaultRowHeight="15" x14ac:dyDescent="0.25"/>
  <cols>
    <col min="2" max="2" width="24" customWidth="1"/>
    <col min="3" max="3" width="23.42578125" customWidth="1"/>
    <col min="4" max="4" width="23" customWidth="1"/>
    <col min="5" max="5" width="24.140625" customWidth="1"/>
    <col min="6" max="6" width="23.42578125" customWidth="1"/>
    <col min="7" max="7" width="24.28515625" customWidth="1"/>
    <col min="8" max="8" width="9.140625" customWidth="1"/>
  </cols>
  <sheetData>
    <row r="2" spans="2:12" ht="24.75" customHeight="1" x14ac:dyDescent="0.25">
      <c r="B2" s="17" t="s">
        <v>6</v>
      </c>
      <c r="C2" s="17"/>
      <c r="D2" s="17"/>
      <c r="E2" s="17"/>
      <c r="F2" s="17"/>
      <c r="G2" s="17"/>
    </row>
    <row r="3" spans="2:12" s="1" customFormat="1" ht="50.25" customHeight="1" x14ac:dyDescent="0.25">
      <c r="B3" s="3" t="s">
        <v>0</v>
      </c>
      <c r="C3" s="3" t="s">
        <v>1</v>
      </c>
      <c r="D3" s="3" t="s">
        <v>2</v>
      </c>
      <c r="E3" s="3" t="s">
        <v>3</v>
      </c>
      <c r="F3" s="3" t="s">
        <v>5</v>
      </c>
      <c r="G3" s="3" t="s">
        <v>4</v>
      </c>
      <c r="H3" s="2"/>
      <c r="I3" s="2"/>
      <c r="J3" s="2"/>
      <c r="K3" s="2"/>
      <c r="L3" s="2"/>
    </row>
    <row r="4" spans="2:12" ht="49.5" customHeight="1" x14ac:dyDescent="0.25">
      <c r="B4" s="5">
        <f>AVERAGE('Исходные данные (итог. анкета)'!E:E)</f>
        <v>8.6829268292682933</v>
      </c>
      <c r="C4" s="5">
        <f>AVERAGE('Исходные данные (итог. анкета)'!L:L)</f>
        <v>8.463414634146341</v>
      </c>
      <c r="D4" s="5">
        <f>AVERAGE('Исходные данные (итог. анкета)'!P:P)</f>
        <v>8.8780487804878057</v>
      </c>
      <c r="E4" s="4">
        <f>COUNTIF('Исходные данные (итог. анкета)'!U:U,"нет")/COUNTA('Исходные данные (итог. анкета)'!U2:U499)</f>
        <v>0.78048780487804881</v>
      </c>
      <c r="F4" s="5">
        <f>AVERAGE('Исходные данные (итог. анкета)'!Y:Y)</f>
        <v>9.6585365853658534</v>
      </c>
      <c r="G4" s="5">
        <f>AVERAGE(B4:D4,F4)</f>
        <v>8.9207317073170742</v>
      </c>
    </row>
  </sheetData>
  <mergeCells count="1">
    <mergeCell ref="B2:G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Исходные данные (итог. анкета)</vt:lpstr>
      <vt:lpstr>Ключевые показатели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Рудович Александра Анатольевна</dc:creator>
  <cp:lastModifiedBy>Тарханова Людмила Александровна</cp:lastModifiedBy>
  <dcterms:created xsi:type="dcterms:W3CDTF">2025-12-17T09:08:45Z</dcterms:created>
  <dcterms:modified xsi:type="dcterms:W3CDTF">2026-07-01T10:18:29Z</dcterms:modified>
</cp:coreProperties>
</file>