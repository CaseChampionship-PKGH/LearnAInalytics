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" l="1"/>
  <c r="C4" i="2"/>
  <c r="E4" i="2"/>
  <c r="F4" i="2"/>
  <c r="B4" i="2" l="1"/>
  <c r="G4" i="2" l="1"/>
</calcChain>
</file>

<file path=xl/sharedStrings.xml><?xml version="1.0" encoding="utf-8"?>
<sst xmlns="http://schemas.openxmlformats.org/spreadsheetml/2006/main" count="733" uniqueCount="276">
  <si>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</si>
  <si>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</si>
  <si>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</si>
  <si>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</si>
  <si>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</si>
  <si>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</si>
  <si>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</si>
  <si>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</si>
  <si>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</si>
  <si>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</si>
  <si>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</si>
  <si>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</si>
  <si>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</si>
  <si>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</si>
  <si>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</si>
  <si>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</si>
  <si>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</si>
  <si>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</si>
  <si>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</si>
  <si>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</si>
  <si>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</si>
  <si>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</si>
  <si>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</si>
  <si>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</si>
  <si>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</si>
  <si>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</si>
  <si>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</si>
  <si>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</si>
  <si>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</si>
  <si>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</si>
  <si>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</si>
  <si>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</si>
  <si>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</si>
  <si>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</si>
  <si>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Оно мне показалось интересным и актуальным в связи с моим внутренним состоянием</t>
  </si>
  <si>
    <t>внутреннее сосотяние</t>
  </si>
  <si>
    <t>тема интересна для меня</t>
  </si>
  <si>
    <t>Посоветовали, тема интересная</t>
  </si>
  <si>
    <t>Пошла обучаться по совету коллеги, так как чувствовала признаки выгорания</t>
  </si>
  <si>
    <t>для личностного роста</t>
  </si>
  <si>
    <t>Актуальная тема в современном мире. Было интересно ознакомиться с современными методиками и упражнениями.</t>
  </si>
  <si>
    <t>руководитель</t>
  </si>
  <si>
    <t>По рекомендации коллег</t>
  </si>
  <si>
    <t>обеспечивающий специалист</t>
  </si>
  <si>
    <t>интересно</t>
  </si>
  <si>
    <t>данный курс очень актуальный10</t>
  </si>
  <si>
    <t>интересная программа. не только для работы, но и лично</t>
  </si>
  <si>
    <t>Интересна тематика, позитивные отзывы от коллег</t>
  </si>
  <si>
    <t>Хотелось узнать что то новое для себя</t>
  </si>
  <si>
    <t>Почувствовала усталость</t>
  </si>
  <si>
    <t>стало интересно нахожусь ли я на этапе выгорания и, если да, то что с этим делать</t>
  </si>
  <si>
    <t>поможет данный курс в работе и жизни</t>
  </si>
  <si>
    <t>По рекомендациям</t>
  </si>
  <si>
    <t>курс выбрала сама</t>
  </si>
  <si>
    <t>заинтересовала тема обучения</t>
  </si>
  <si>
    <t>Рекомендовали коллеги</t>
  </si>
  <si>
    <t>Чтобы не дожидаться проф. выгорания</t>
  </si>
  <si>
    <t>Изначально была интересна тема программы так сама читала книги по данному направлению.</t>
  </si>
  <si>
    <t>Посоветовали коллеги, очень интересная тема</t>
  </si>
  <si>
    <t>Курс посоветовали коллеги</t>
  </si>
  <si>
    <t>подошел срок прохождения повышения квалификации</t>
  </si>
  <si>
    <t>По данной программе ранее не обучался.</t>
  </si>
  <si>
    <t>Интересно</t>
  </si>
  <si>
    <t>устала от рутины и интриг</t>
  </si>
  <si>
    <t>Была усталость от работы</t>
  </si>
  <si>
    <t>Многолетний стаж</t>
  </si>
  <si>
    <t>решение администрации</t>
  </si>
  <si>
    <t>не выгореть</t>
  </si>
  <si>
    <t>Актуальность темы и совет коллег</t>
  </si>
  <si>
    <t>советник (помощник)</t>
  </si>
  <si>
    <t>Интересная тема</t>
  </si>
  <si>
    <t>по совету коллег</t>
  </si>
  <si>
    <t>Способы профилактики и борьбы со стрессом и выгоранием</t>
  </si>
  <si>
    <t>Когнитивное искажение, упражнения для профилактики стресса, управление временем, навыки общения</t>
  </si>
  <si>
    <t>да</t>
  </si>
  <si>
    <t>-</t>
  </si>
  <si>
    <t>нет</t>
  </si>
  <si>
    <t>Я была вовлечена</t>
  </si>
  <si>
    <t>очное обучение в аудиториях Корпоративного университета</t>
  </si>
  <si>
    <t>Куратор всегда была на связи, оперативно отвечала</t>
  </si>
  <si>
    <t>профессиональное выгорание</t>
  </si>
  <si>
    <t>способы профилактики профессионального выгорания, коммуникация с другими поколениями</t>
  </si>
  <si>
    <t>Взяла себе определенные техники для борьбы со стрессом</t>
  </si>
  <si>
    <t>как заставить себя применять предлагаемые техники, когда уже нет сил их применять</t>
  </si>
  <si>
    <t>Когда приходилось работать с телефона, сидя в аудитории</t>
  </si>
  <si>
    <t>Ничего</t>
  </si>
  <si>
    <t>Всегда были на связи и помогали в случае возникновения проблем</t>
  </si>
  <si>
    <t>техники восстановления</t>
  </si>
  <si>
    <t>расстановка приоритетов. дела разделять по принципу мышь и сыр и т.п.</t>
  </si>
  <si>
    <t>не могу предложить так как была максимально вовлечена</t>
  </si>
  <si>
    <t>смешанное обучение: частично очно, частично дистанционно</t>
  </si>
  <si>
    <t>замечательный преподаватель !!!</t>
  </si>
  <si>
    <t>Способы выявления стресса и тревожности и борьбы с ними</t>
  </si>
  <si>
    <t>выявление когнитивных искажений и способы борьбы с ним</t>
  </si>
  <si>
    <t>все отлично</t>
  </si>
  <si>
    <t>было приятно и комфортно обучаться</t>
  </si>
  <si>
    <t>Диагностика выгорания, методы работы с выгоранием и литература</t>
  </si>
  <si>
    <t>Точно буду применять в жизни распределение по квадрату задач по важности и срочности и несколько методов работы по профилактике выгорания</t>
  </si>
  <si>
    <t>Тема полностью раскрыта</t>
  </si>
  <si>
    <t>ничего</t>
  </si>
  <si>
    <t>Считаю, что последовательность тем и логика изложения материала на высоком уровне.</t>
  </si>
  <si>
    <t>активно участвовала в практиках, задавала вопросы</t>
  </si>
  <si>
    <t>Все были максимально вовлечены</t>
  </si>
  <si>
    <t>все было отлично и комфортно</t>
  </si>
  <si>
    <t>Классификация стресса, методы борьбы со стрессом</t>
  </si>
  <si>
    <t>борьба со стрессом, матрица Эзинхауэра</t>
  </si>
  <si>
    <t>нет таких</t>
  </si>
  <si>
    <t>всего достаточно</t>
  </si>
  <si>
    <t>Очный формат обучения нельзя исключать, очень важна коммуникация с коллегами и наличии практики.</t>
  </si>
  <si>
    <t>Диагностика выгорания, современные исследования в этой области.</t>
  </si>
  <si>
    <t>Работа со стрессом 3Р+3У, определение когнитивных искажений и работа с ними, Использование образов, дыхательные упражнения, медитации, выявление у себя и работа над выученной беспомощностью, техники тайм-менеджмента и определения важности дел/задач, рекомендации по литературе, рекомендации по физическому состоянию и самочувствию, работа с разными видами стресса, важность понимания собственных эмоций и чувств, навыки для успешных коммуникаций.</t>
  </si>
  <si>
    <t>Не считаю нужным убирать материал из программы.</t>
  </si>
  <si>
    <t>Очень бы хотелось, чтобы организаторы нашли возможность увеличить продолжительность курса по количеству часов.</t>
  </si>
  <si>
    <t>Сделать основную группу слушателей меньше, чтобы и участникам и преподавателю было комфортнее.</t>
  </si>
  <si>
    <t>Я благодарю Наталию Валериевну за время, внимание и готовность помочь, за ее вклад  и отдачу. Очень бы хотелось в будущем посещать ее занятия.</t>
  </si>
  <si>
    <t>Возможно, меньшее количество слушателей на курсе.</t>
  </si>
  <si>
    <t>спасибо кураторам проекта за проявленное внимание, организацию, время и гибкость.</t>
  </si>
  <si>
    <t>Вопросы определения наиболее важных задач и умения распределять задачи, поскольку это поможет избегать излишней избыточной нагрузки</t>
  </si>
  <si>
    <t>Практики тайм-менеджмента</t>
  </si>
  <si>
    <t>Таких тем нет</t>
  </si>
  <si>
    <t>Не обладая специальными знаниями, не могу ответить на данный вопрос. Но программа достаточно насыщенна и интересна.</t>
  </si>
  <si>
    <t>ничего, они полезны</t>
  </si>
  <si>
    <t>Вовлеченность была достаточна</t>
  </si>
  <si>
    <t>Куратор постоянно доводила до группы актуальную информацию, отвечала на все вопросы</t>
  </si>
  <si>
    <t>Весь курс был очень полезен и информативен</t>
  </si>
  <si>
    <t>большинство</t>
  </si>
  <si>
    <t xml:space="preserve"> -</t>
  </si>
  <si>
    <t>все полезны</t>
  </si>
  <si>
    <t>исключить из программы занятия в выходной день</t>
  </si>
  <si>
    <t>Очень интересный курс и замечательная лектор, очень большой профессионал!</t>
  </si>
  <si>
    <t>распределение времени и актуализация работы</t>
  </si>
  <si>
    <t>правило 5 с</t>
  </si>
  <si>
    <t>все вопросы программы очень актуальны, компактно, но в тоже время всё по делу</t>
  </si>
  <si>
    <t>совместные  обучения с коллегами</t>
  </si>
  <si>
    <t>очень довольна курсом, преподаватель замечательная!</t>
  </si>
  <si>
    <t>Управление стрессом, усталость и выгорание</t>
  </si>
  <si>
    <t>Управление стрессом</t>
  </si>
  <si>
    <t>все полезно</t>
  </si>
  <si>
    <t>программа полная, не требуется</t>
  </si>
  <si>
    <t>Прекрасная программа. Рекомендую.</t>
  </si>
  <si>
    <t>Вопросы, связанные с повышением эффективности действий в условиях стресса</t>
  </si>
  <si>
    <t>Методики релаксации, позволяющие переключить внимание, восстановиться и вернуться к исполнению обязанностей</t>
  </si>
  <si>
    <t>Курс интересен, в целом все темы представляются важными и значимыми</t>
  </si>
  <si>
    <t>Темой по методике действия в условиях острого стресса</t>
  </si>
  <si>
    <t>Занятия организованы должным образом, предложений по улучшению не имею</t>
  </si>
  <si>
    <t>Проблем не было, при этом был постоянный контакт</t>
  </si>
  <si>
    <t>вопросы связанные с управлением временем, управлением стрессом</t>
  </si>
  <si>
    <t>техники управления стрессами</t>
  </si>
  <si>
    <t>все полезные</t>
  </si>
  <si>
    <t>затрудняюсь ответить</t>
  </si>
  <si>
    <t>было все очень интересно</t>
  </si>
  <si>
    <t>получил ответы на все интересующие вопросы</t>
  </si>
  <si>
    <t>Понравился весь курс</t>
  </si>
  <si>
    <t>Все</t>
  </si>
  <si>
    <t>Все очень понравилось! СПАСИБО!!!</t>
  </si>
  <si>
    <t>отличие усталости от выгорания; способы предупреждения и преодоления выгорания.</t>
  </si>
  <si>
    <t>думаю, в основном все</t>
  </si>
  <si>
    <t>принцип 5С, так как часто забываем про здоровый сон</t>
  </si>
  <si>
    <t xml:space="preserve"> Тайм-менеджмент, так как нужно ценить и контролировать свое время</t>
  </si>
  <si>
    <t>Не исключала бы ничего</t>
  </si>
  <si>
    <t>Курс очень полезный, буду советовать его коллегам, информация предоставлена очень доступной</t>
  </si>
  <si>
    <t>Тестирование профессиональных ресурсов</t>
  </si>
  <si>
    <t>Коммуникабильность</t>
  </si>
  <si>
    <t>Полезны все</t>
  </si>
  <si>
    <t>Общением команд</t>
  </si>
  <si>
    <t>Полезны</t>
  </si>
  <si>
    <t>тестирование</t>
  </si>
  <si>
    <t>Командная работа</t>
  </si>
  <si>
    <t>Методы выхода из стрессовых ситуаций</t>
  </si>
  <si>
    <t>Медитация</t>
  </si>
  <si>
    <t>таких нет</t>
  </si>
  <si>
    <t>больше практики по оценке выгорания</t>
  </si>
  <si>
    <t>Отличный курс</t>
  </si>
  <si>
    <t>техники работы со стрессом и выгоранием</t>
  </si>
  <si>
    <t>техники и упражнения работы со стрессом и выгоранием</t>
  </si>
  <si>
    <t>подробнее остановиться на тайм-менеджменте</t>
  </si>
  <si>
    <t>Все было полезно и хорошо организовано</t>
  </si>
  <si>
    <t>Все были вовлечены в процесс. Было очень интересно</t>
  </si>
  <si>
    <t>Все очень ответственные. Помогали на протяжении всего обучения. Огромное спасибо</t>
  </si>
  <si>
    <t>стадии стресса, степень выгорания</t>
  </si>
  <si>
    <t>методики восстановления</t>
  </si>
  <si>
    <t>все актуальны</t>
  </si>
  <si>
    <t>типы поведения в условиях некорректно поставленных задач</t>
  </si>
  <si>
    <t>полное компетентное сопровождение</t>
  </si>
  <si>
    <t>Методы борьбы с выгоранием и профилактика.</t>
  </si>
  <si>
    <t>Методы борьбы с выгоранием и профилактика, медитации, таймменеджмент, упражнения на расслабление из онлайн занятия.</t>
  </si>
  <si>
    <t>Все оставить, курс не сильно длинный и доступный к восприятию в том виде, в котором мы его прослушали. Спасибо!</t>
  </si>
  <si>
    <t>Можно было бы немного больше времени на одну тему, чтобы более подробно рассмотреть (увеличение длительности курса).</t>
  </si>
  <si>
    <t>Все было отлично :)</t>
  </si>
  <si>
    <t>Спасибо большое преподавателям и кураторам! Очень слаженная и хорошо проделанная работа команды! Есть желание приходить к вам снова :)</t>
  </si>
  <si>
    <t>Актуальны были практические решения проблем, новые способы практик выгорания</t>
  </si>
  <si>
    <t>Практические занятия, практики выгорания</t>
  </si>
  <si>
    <t>таких тем нет</t>
  </si>
  <si>
    <t>тема актуальна и вопросы в ней также актуальны</t>
  </si>
  <si>
    <t>Курс более чем наполненный</t>
  </si>
  <si>
    <t>Была полностью вовлечена</t>
  </si>
  <si>
    <t>Все четко по делу, без лишней воды</t>
  </si>
  <si>
    <t>В принципе вся тема очень актуальна и интересна</t>
  </si>
  <si>
    <t>Способы стабилизации нервной системы, очень понравились техники борьбы с выгоранием и упражнения.</t>
  </si>
  <si>
    <t>Нет таких тем, которые нужно исключить</t>
  </si>
  <si>
    <t>Думаю дополнений не требуется, по мне программа спланирована очень грамотно.</t>
  </si>
  <si>
    <t>Все очень понравилось. Спасибо за данный курс!</t>
  </si>
  <si>
    <t>Наиболее актуальными оказались вопросы тайм-менеджмента, потому что периодически испытываю нехватку времени</t>
  </si>
  <si>
    <t>Техники тайм-менеджмента</t>
  </si>
  <si>
    <t>пока затрудняюсь ответить</t>
  </si>
  <si>
    <t>уверенность в себе</t>
  </si>
  <si>
    <t>Своевременная рассылка писем, памятки и хорошие инструкции.</t>
  </si>
  <si>
    <t>тайминг рабочего времени, техника работы со стрессом, определение выгорания</t>
  </si>
  <si>
    <t>когнитивные практики, техника квадрата, методы распределения рабочего времени</t>
  </si>
  <si>
    <t>узнала много нового</t>
  </si>
  <si>
    <t>ничего не надо исключать</t>
  </si>
  <si>
    <t>личностная ресурсность</t>
  </si>
  <si>
    <t>частоту такого обучения</t>
  </si>
  <si>
    <t>больше тестов</t>
  </si>
  <si>
    <t>все на высоком профессиональном уровне</t>
  </si>
  <si>
    <t>Определение понятия выгорания, насколько это применимо ко мне.</t>
  </si>
  <si>
    <t>Постараюсь учитывать полученные знания при общении в коллективе.</t>
  </si>
  <si>
    <t xml:space="preserve"> Вопросы, применимые в основном в западном обществе в условиях капитализма, многие решения и выводы спорны В повышении квалификации госслужащих следует опираться на отечественный опыт и рассчитывать на соответствующую аудиторию: взрослые люди, с высшим образованием, достигшие в жизни положительных результатов, работающих в РОССИЙСКИХ И САНКТ-ПЕТЕРБУРГСКИХ госорганах.</t>
  </si>
  <si>
    <t>Рассмотрение проблем в коллективах госорганов, а не   бизнес структур.</t>
  </si>
  <si>
    <t>Рассмотрение ситуаций, характерных для коллективов госорганов.</t>
  </si>
  <si>
    <t>Рассмотрение проблем, характерных для коллективов госорганов.</t>
  </si>
  <si>
    <t>Затрудняюсь ответить</t>
  </si>
  <si>
    <t>отличие усталости от выгорания</t>
  </si>
  <si>
    <t>пригодятся очень многие темы</t>
  </si>
  <si>
    <t>нет дополнений, всё было достаточно интересно</t>
  </si>
  <si>
    <t>тренинги по расслаблению. т.к. на практике оказались эффективны</t>
  </si>
  <si>
    <t>профилактику выгорания</t>
  </si>
  <si>
    <t>обучение как пресекать манипуляции</t>
  </si>
  <si>
    <t>очень рада, что выбрала правильную тему очередного обучения</t>
  </si>
  <si>
    <t>Вопросы восстановления ресурсов, так как увидела реальную помощь</t>
  </si>
  <si>
    <t>Техники воссановления</t>
  </si>
  <si>
    <t>---</t>
  </si>
  <si>
    <t>Все вопросы хорошие и нужные</t>
  </si>
  <si>
    <t>мне все понравилось</t>
  </si>
  <si>
    <t>----</t>
  </si>
  <si>
    <t>-----</t>
  </si>
  <si>
    <t>я была достаточно вовлечена</t>
  </si>
  <si>
    <t>Курс очень понравился</t>
  </si>
  <si>
    <t>Психологические навыки</t>
  </si>
  <si>
    <t>Метод квадрата, помидора</t>
  </si>
  <si>
    <t>все темы интересны</t>
  </si>
  <si>
    <t>Достаточно</t>
  </si>
  <si>
    <t>видеоответы</t>
  </si>
  <si>
    <t>Спасибо за обучение</t>
  </si>
  <si>
    <t>распределение времени и его планирование</t>
  </si>
  <si>
    <t>делегирование</t>
  </si>
  <si>
    <t>не надо исключать</t>
  </si>
  <si>
    <t>достаточно тем</t>
  </si>
  <si>
    <t>все понравилось</t>
  </si>
  <si>
    <t>могла</t>
  </si>
  <si>
    <t>не возникли</t>
  </si>
  <si>
    <t>новый материал</t>
  </si>
  <si>
    <t>все ясно и понятно</t>
  </si>
  <si>
    <t>где нарушен мой баланс</t>
  </si>
  <si>
    <t>двойные стандарты</t>
  </si>
  <si>
    <t>ни каких</t>
  </si>
  <si>
    <t>все замечательно</t>
  </si>
  <si>
    <t>ни чего</t>
  </si>
  <si>
    <t>игра</t>
  </si>
  <si>
    <t>мне было это нужно</t>
  </si>
  <si>
    <t>Профилактика стрессов, виды стрессов</t>
  </si>
  <si>
    <t>Практики борьбы со стрессами</t>
  </si>
  <si>
    <t>Все темы важны</t>
  </si>
  <si>
    <t>таких моментов не было</t>
  </si>
  <si>
    <t>Практические задания</t>
  </si>
  <si>
    <t>Взаимодействие было эффективным</t>
  </si>
  <si>
    <t>Планирование времени, так я поняла что не совсем правильно распределяю дела.</t>
  </si>
  <si>
    <t>планировать правильно рабочий день.</t>
  </si>
  <si>
    <t>Все есть</t>
  </si>
  <si>
    <t>Не было</t>
  </si>
  <si>
    <t>Я вовлечена в процесс</t>
  </si>
  <si>
    <t>Мне все очень понравилось!</t>
  </si>
  <si>
    <t>стресс и работа с ним</t>
  </si>
  <si>
    <t>все применимо</t>
  </si>
  <si>
    <t>все оставить</t>
  </si>
  <si>
    <t>можно оставить все как есть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</si>
</sst>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zoomScale="80" zoomScaleNormal="80" workbookViewId="0">
      <selection activeCell="A2" sqref="A2:B36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75" x14ac:dyDescent="0.25">
      <c r="A2" s="11"/>
      <c r="B2" s="11"/>
      <c r="C2" s="11" t="s">
        <v>33</v>
      </c>
      <c r="D2" s="9" t="s">
        <v>34</v>
      </c>
      <c r="E2" s="10">
        <v>10</v>
      </c>
      <c r="F2" s="11" t="s">
        <v>72</v>
      </c>
      <c r="G2" s="11" t="s">
        <v>73</v>
      </c>
      <c r="H2" s="11" t="s">
        <v>74</v>
      </c>
      <c r="I2" s="11" t="s">
        <v>75</v>
      </c>
      <c r="J2" s="11" t="s">
        <v>75</v>
      </c>
      <c r="K2" s="11" t="s">
        <v>75</v>
      </c>
      <c r="L2" s="10">
        <v>10</v>
      </c>
      <c r="M2" s="11" t="s">
        <v>74</v>
      </c>
      <c r="N2" s="11" t="s">
        <v>75</v>
      </c>
      <c r="O2" s="11" t="s">
        <v>75</v>
      </c>
      <c r="P2" s="10">
        <v>10</v>
      </c>
      <c r="Q2" s="11" t="s">
        <v>74</v>
      </c>
      <c r="R2" s="11" t="s">
        <v>75</v>
      </c>
      <c r="S2" s="11" t="s">
        <v>74</v>
      </c>
      <c r="T2" s="11" t="s">
        <v>75</v>
      </c>
      <c r="U2" s="11" t="s">
        <v>76</v>
      </c>
      <c r="V2" s="11" t="s">
        <v>75</v>
      </c>
      <c r="W2" s="11" t="s">
        <v>77</v>
      </c>
      <c r="X2" s="11" t="s">
        <v>78</v>
      </c>
      <c r="Y2" s="10">
        <v>10</v>
      </c>
      <c r="Z2" s="11" t="s">
        <v>79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60" x14ac:dyDescent="0.25">
      <c r="A3" s="11"/>
      <c r="B3" s="11"/>
      <c r="C3" s="11" t="s">
        <v>33</v>
      </c>
      <c r="D3" s="9" t="s">
        <v>35</v>
      </c>
      <c r="E3" s="10">
        <v>10</v>
      </c>
      <c r="F3" s="11" t="s">
        <v>80</v>
      </c>
      <c r="G3" s="11" t="s">
        <v>81</v>
      </c>
      <c r="H3" s="11" t="s">
        <v>74</v>
      </c>
      <c r="I3" s="11" t="s">
        <v>82</v>
      </c>
      <c r="J3" s="11" t="s">
        <v>75</v>
      </c>
      <c r="K3" s="11" t="s">
        <v>83</v>
      </c>
      <c r="L3" s="10">
        <v>10</v>
      </c>
      <c r="M3" s="11" t="s">
        <v>74</v>
      </c>
      <c r="N3" s="11" t="s">
        <v>75</v>
      </c>
      <c r="O3" s="11" t="s">
        <v>75</v>
      </c>
      <c r="P3" s="10">
        <v>10</v>
      </c>
      <c r="Q3" s="11" t="s">
        <v>74</v>
      </c>
      <c r="R3" s="11" t="s">
        <v>75</v>
      </c>
      <c r="S3" s="11" t="s">
        <v>74</v>
      </c>
      <c r="T3" s="11" t="s">
        <v>75</v>
      </c>
      <c r="U3" s="11" t="s">
        <v>74</v>
      </c>
      <c r="V3" s="11" t="s">
        <v>84</v>
      </c>
      <c r="W3" s="11" t="s">
        <v>85</v>
      </c>
      <c r="X3" s="11" t="s">
        <v>78</v>
      </c>
      <c r="Y3" s="10">
        <v>10</v>
      </c>
      <c r="Z3" s="11" t="s">
        <v>86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45" x14ac:dyDescent="0.25">
      <c r="A4" s="11"/>
      <c r="B4" s="11"/>
      <c r="C4" s="11" t="s">
        <v>33</v>
      </c>
      <c r="D4" s="9" t="s">
        <v>36</v>
      </c>
      <c r="E4" s="10">
        <v>10</v>
      </c>
      <c r="F4" s="11" t="s">
        <v>87</v>
      </c>
      <c r="G4" s="11" t="s">
        <v>88</v>
      </c>
      <c r="H4" s="11" t="s">
        <v>74</v>
      </c>
      <c r="I4" s="11" t="s">
        <v>75</v>
      </c>
      <c r="J4" s="11" t="s">
        <v>75</v>
      </c>
      <c r="K4" s="11" t="s">
        <v>75</v>
      </c>
      <c r="L4" s="10">
        <v>10</v>
      </c>
      <c r="M4" s="11" t="s">
        <v>74</v>
      </c>
      <c r="N4" s="11" t="s">
        <v>75</v>
      </c>
      <c r="O4" s="11" t="s">
        <v>75</v>
      </c>
      <c r="P4" s="10">
        <v>10</v>
      </c>
      <c r="Q4" s="11" t="s">
        <v>74</v>
      </c>
      <c r="R4" s="11" t="s">
        <v>75</v>
      </c>
      <c r="S4" s="11" t="s">
        <v>74</v>
      </c>
      <c r="T4" s="11" t="s">
        <v>75</v>
      </c>
      <c r="U4" s="11" t="s">
        <v>76</v>
      </c>
      <c r="V4" s="11" t="s">
        <v>75</v>
      </c>
      <c r="W4" s="11" t="s">
        <v>89</v>
      </c>
      <c r="X4" s="11" t="s">
        <v>90</v>
      </c>
      <c r="Y4" s="10">
        <v>10</v>
      </c>
      <c r="Z4" s="11" t="s">
        <v>91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60" x14ac:dyDescent="0.25">
      <c r="A5" s="11"/>
      <c r="B5" s="11"/>
      <c r="C5" s="11" t="s">
        <v>33</v>
      </c>
      <c r="D5" s="9" t="s">
        <v>37</v>
      </c>
      <c r="E5" s="10">
        <v>8</v>
      </c>
      <c r="F5" s="11" t="s">
        <v>92</v>
      </c>
      <c r="G5" s="11" t="s">
        <v>93</v>
      </c>
      <c r="H5" s="11" t="s">
        <v>74</v>
      </c>
      <c r="I5" s="11" t="s">
        <v>75</v>
      </c>
      <c r="J5" s="11" t="s">
        <v>75</v>
      </c>
      <c r="K5" s="11" t="s">
        <v>75</v>
      </c>
      <c r="L5" s="10">
        <v>10</v>
      </c>
      <c r="M5" s="11" t="s">
        <v>74</v>
      </c>
      <c r="N5" s="11" t="s">
        <v>75</v>
      </c>
      <c r="O5" s="11" t="s">
        <v>75</v>
      </c>
      <c r="P5" s="10">
        <v>10</v>
      </c>
      <c r="Q5" s="11" t="s">
        <v>74</v>
      </c>
      <c r="R5" s="11" t="s">
        <v>75</v>
      </c>
      <c r="S5" s="11" t="s">
        <v>74</v>
      </c>
      <c r="T5" s="11" t="s">
        <v>75</v>
      </c>
      <c r="U5" s="11" t="s">
        <v>76</v>
      </c>
      <c r="V5" s="11" t="s">
        <v>75</v>
      </c>
      <c r="W5" s="11" t="s">
        <v>94</v>
      </c>
      <c r="X5" s="11" t="s">
        <v>78</v>
      </c>
      <c r="Y5" s="10">
        <v>10</v>
      </c>
      <c r="Z5" s="11" t="s">
        <v>95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90" x14ac:dyDescent="0.25">
      <c r="A6" s="11"/>
      <c r="B6" s="11"/>
      <c r="C6" s="11" t="s">
        <v>33</v>
      </c>
      <c r="D6" s="9" t="s">
        <v>38</v>
      </c>
      <c r="E6" s="10">
        <v>10</v>
      </c>
      <c r="F6" s="11" t="s">
        <v>96</v>
      </c>
      <c r="G6" s="11" t="s">
        <v>97</v>
      </c>
      <c r="H6" s="11" t="s">
        <v>74</v>
      </c>
      <c r="I6" s="11" t="s">
        <v>75</v>
      </c>
      <c r="J6" s="11" t="s">
        <v>98</v>
      </c>
      <c r="K6" s="11" t="s">
        <v>98</v>
      </c>
      <c r="L6" s="10">
        <v>10</v>
      </c>
      <c r="M6" s="11" t="s">
        <v>74</v>
      </c>
      <c r="N6" s="11" t="s">
        <v>75</v>
      </c>
      <c r="O6" s="11" t="s">
        <v>99</v>
      </c>
      <c r="P6" s="10">
        <v>10</v>
      </c>
      <c r="Q6" s="11" t="s">
        <v>74</v>
      </c>
      <c r="R6" s="11" t="s">
        <v>100</v>
      </c>
      <c r="S6" s="11" t="s">
        <v>74</v>
      </c>
      <c r="T6" s="11" t="s">
        <v>101</v>
      </c>
      <c r="U6" s="11" t="s">
        <v>76</v>
      </c>
      <c r="V6" s="11" t="s">
        <v>75</v>
      </c>
      <c r="W6" s="11" t="s">
        <v>102</v>
      </c>
      <c r="X6" s="11" t="s">
        <v>90</v>
      </c>
      <c r="Y6" s="10">
        <v>10</v>
      </c>
      <c r="Z6" s="11" t="s">
        <v>103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90" x14ac:dyDescent="0.25">
      <c r="A7" s="11"/>
      <c r="B7" s="11"/>
      <c r="C7" s="11" t="s">
        <v>33</v>
      </c>
      <c r="D7" s="9" t="s">
        <v>39</v>
      </c>
      <c r="E7" s="10">
        <v>10</v>
      </c>
      <c r="F7" s="11" t="s">
        <v>104</v>
      </c>
      <c r="G7" s="11" t="s">
        <v>105</v>
      </c>
      <c r="H7" s="11" t="s">
        <v>74</v>
      </c>
      <c r="I7" s="11" t="s">
        <v>75</v>
      </c>
      <c r="J7" s="11" t="s">
        <v>106</v>
      </c>
      <c r="K7" s="11" t="s">
        <v>106</v>
      </c>
      <c r="L7" s="10">
        <v>10</v>
      </c>
      <c r="M7" s="11" t="s">
        <v>74</v>
      </c>
      <c r="N7" s="11" t="s">
        <v>75</v>
      </c>
      <c r="O7" s="11" t="s">
        <v>75</v>
      </c>
      <c r="P7" s="10">
        <v>10</v>
      </c>
      <c r="Q7" s="11" t="s">
        <v>74</v>
      </c>
      <c r="R7" s="11" t="s">
        <v>75</v>
      </c>
      <c r="S7" s="11" t="s">
        <v>74</v>
      </c>
      <c r="T7" s="11" t="s">
        <v>75</v>
      </c>
      <c r="U7" s="11" t="s">
        <v>76</v>
      </c>
      <c r="V7" s="11" t="s">
        <v>75</v>
      </c>
      <c r="W7" s="11" t="s">
        <v>107</v>
      </c>
      <c r="X7" s="11" t="s">
        <v>90</v>
      </c>
      <c r="Y7" s="10">
        <v>10</v>
      </c>
      <c r="Z7" s="11" t="s">
        <v>108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315" x14ac:dyDescent="0.25">
      <c r="A8" s="11"/>
      <c r="B8" s="11"/>
      <c r="C8" s="11" t="s">
        <v>33</v>
      </c>
      <c r="D8" s="9" t="s">
        <v>40</v>
      </c>
      <c r="E8" s="10">
        <v>10</v>
      </c>
      <c r="F8" s="11" t="s">
        <v>109</v>
      </c>
      <c r="G8" s="11" t="s">
        <v>110</v>
      </c>
      <c r="H8" s="11" t="s">
        <v>74</v>
      </c>
      <c r="I8" s="11" t="s">
        <v>75</v>
      </c>
      <c r="J8" s="11" t="s">
        <v>111</v>
      </c>
      <c r="K8" s="11" t="s">
        <v>112</v>
      </c>
      <c r="L8" s="10">
        <v>10</v>
      </c>
      <c r="M8" s="11" t="s">
        <v>74</v>
      </c>
      <c r="N8" s="11" t="s">
        <v>75</v>
      </c>
      <c r="O8" s="11" t="s">
        <v>113</v>
      </c>
      <c r="P8" s="10">
        <v>10</v>
      </c>
      <c r="Q8" s="11" t="s">
        <v>74</v>
      </c>
      <c r="R8" s="11" t="s">
        <v>75</v>
      </c>
      <c r="S8" s="11" t="s">
        <v>74</v>
      </c>
      <c r="T8" s="11" t="s">
        <v>114</v>
      </c>
      <c r="U8" s="11" t="s">
        <v>76</v>
      </c>
      <c r="V8" s="11" t="s">
        <v>75</v>
      </c>
      <c r="W8" s="11" t="s">
        <v>115</v>
      </c>
      <c r="X8" s="11" t="s">
        <v>78</v>
      </c>
      <c r="Y8" s="10">
        <v>10</v>
      </c>
      <c r="Z8" s="11" t="s">
        <v>116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90" x14ac:dyDescent="0.25">
      <c r="A9" s="11"/>
      <c r="B9" s="11"/>
      <c r="C9" s="11" t="s">
        <v>41</v>
      </c>
      <c r="D9" s="9" t="s">
        <v>42</v>
      </c>
      <c r="E9" s="10">
        <v>10</v>
      </c>
      <c r="F9" s="11" t="s">
        <v>117</v>
      </c>
      <c r="G9" s="11" t="s">
        <v>118</v>
      </c>
      <c r="H9" s="11" t="s">
        <v>74</v>
      </c>
      <c r="I9" s="11" t="s">
        <v>75</v>
      </c>
      <c r="J9" s="11" t="s">
        <v>119</v>
      </c>
      <c r="K9" s="11" t="s">
        <v>120</v>
      </c>
      <c r="L9" s="10">
        <v>10</v>
      </c>
      <c r="M9" s="11" t="s">
        <v>74</v>
      </c>
      <c r="N9" s="11" t="s">
        <v>75</v>
      </c>
      <c r="O9" s="11" t="s">
        <v>121</v>
      </c>
      <c r="P9" s="10">
        <v>10</v>
      </c>
      <c r="Q9" s="11" t="s">
        <v>74</v>
      </c>
      <c r="R9" s="11" t="s">
        <v>75</v>
      </c>
      <c r="S9" s="11" t="s">
        <v>74</v>
      </c>
      <c r="T9" s="11" t="s">
        <v>75</v>
      </c>
      <c r="U9" s="11" t="s">
        <v>76</v>
      </c>
      <c r="V9" s="11" t="s">
        <v>75</v>
      </c>
      <c r="W9" s="11" t="s">
        <v>122</v>
      </c>
      <c r="X9" s="11" t="s">
        <v>78</v>
      </c>
      <c r="Y9" s="10">
        <v>10</v>
      </c>
      <c r="Z9" s="11" t="s">
        <v>123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60" x14ac:dyDescent="0.25">
      <c r="A10" s="11"/>
      <c r="B10" s="11"/>
      <c r="C10" s="11" t="s">
        <v>43</v>
      </c>
      <c r="D10" s="9" t="s">
        <v>44</v>
      </c>
      <c r="E10" s="10">
        <v>10</v>
      </c>
      <c r="F10" s="11" t="s">
        <v>124</v>
      </c>
      <c r="G10" s="11" t="s">
        <v>125</v>
      </c>
      <c r="H10" s="11" t="s">
        <v>74</v>
      </c>
      <c r="I10" s="11" t="s">
        <v>126</v>
      </c>
      <c r="J10" s="11" t="s">
        <v>127</v>
      </c>
      <c r="K10" s="11" t="s">
        <v>75</v>
      </c>
      <c r="L10" s="10">
        <v>10</v>
      </c>
      <c r="M10" s="11" t="s">
        <v>74</v>
      </c>
      <c r="N10" s="11" t="s">
        <v>75</v>
      </c>
      <c r="O10" s="11" t="s">
        <v>128</v>
      </c>
      <c r="P10" s="10">
        <v>10</v>
      </c>
      <c r="Q10" s="11" t="s">
        <v>74</v>
      </c>
      <c r="R10" s="11" t="s">
        <v>75</v>
      </c>
      <c r="S10" s="11" t="s">
        <v>74</v>
      </c>
      <c r="T10" s="11" t="s">
        <v>75</v>
      </c>
      <c r="U10" s="11" t="s">
        <v>76</v>
      </c>
      <c r="V10" s="11" t="s">
        <v>75</v>
      </c>
      <c r="W10" s="11" t="s">
        <v>75</v>
      </c>
      <c r="X10" s="11" t="s">
        <v>78</v>
      </c>
      <c r="Y10" s="10">
        <v>10</v>
      </c>
      <c r="Z10" s="11" t="s">
        <v>129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60" x14ac:dyDescent="0.25">
      <c r="A11" s="11"/>
      <c r="B11" s="11"/>
      <c r="C11" s="11" t="s">
        <v>33</v>
      </c>
      <c r="D11" s="9" t="s">
        <v>45</v>
      </c>
      <c r="E11" s="10">
        <v>10</v>
      </c>
      <c r="F11" s="11" t="s">
        <v>130</v>
      </c>
      <c r="G11" s="11" t="s">
        <v>131</v>
      </c>
      <c r="H11" s="11" t="s">
        <v>74</v>
      </c>
      <c r="I11" s="11" t="s">
        <v>75</v>
      </c>
      <c r="J11" s="11" t="s">
        <v>132</v>
      </c>
      <c r="K11" s="11" t="s">
        <v>75</v>
      </c>
      <c r="L11" s="10">
        <v>10</v>
      </c>
      <c r="M11" s="11" t="s">
        <v>74</v>
      </c>
      <c r="N11" s="11" t="s">
        <v>75</v>
      </c>
      <c r="O11" s="11" t="s">
        <v>75</v>
      </c>
      <c r="P11" s="10">
        <v>10</v>
      </c>
      <c r="Q11" s="11" t="s">
        <v>74</v>
      </c>
      <c r="R11" s="11" t="s">
        <v>75</v>
      </c>
      <c r="S11" s="11" t="s">
        <v>74</v>
      </c>
      <c r="T11" s="11" t="s">
        <v>75</v>
      </c>
      <c r="U11" s="11" t="s">
        <v>76</v>
      </c>
      <c r="V11" s="11" t="s">
        <v>75</v>
      </c>
      <c r="W11" s="11" t="s">
        <v>133</v>
      </c>
      <c r="X11" s="11" t="s">
        <v>90</v>
      </c>
      <c r="Y11" s="10">
        <v>10</v>
      </c>
      <c r="Z11" s="11" t="s">
        <v>134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60" x14ac:dyDescent="0.25">
      <c r="A12" s="11"/>
      <c r="B12" s="11"/>
      <c r="C12" s="11" t="s">
        <v>33</v>
      </c>
      <c r="D12" s="9" t="s">
        <v>46</v>
      </c>
      <c r="E12" s="10">
        <v>10</v>
      </c>
      <c r="F12" s="11" t="s">
        <v>135</v>
      </c>
      <c r="G12" s="11" t="s">
        <v>136</v>
      </c>
      <c r="H12" s="11" t="s">
        <v>74</v>
      </c>
      <c r="I12" s="11" t="s">
        <v>75</v>
      </c>
      <c r="J12" s="11" t="s">
        <v>137</v>
      </c>
      <c r="K12" s="11" t="s">
        <v>138</v>
      </c>
      <c r="L12" s="10">
        <v>10</v>
      </c>
      <c r="M12" s="11" t="s">
        <v>74</v>
      </c>
      <c r="N12" s="11" t="s">
        <v>75</v>
      </c>
      <c r="O12" s="11" t="s">
        <v>99</v>
      </c>
      <c r="P12" s="10">
        <v>10</v>
      </c>
      <c r="Q12" s="11" t="s">
        <v>74</v>
      </c>
      <c r="R12" s="11" t="s">
        <v>75</v>
      </c>
      <c r="S12" s="11" t="s">
        <v>74</v>
      </c>
      <c r="T12" s="11" t="s">
        <v>75</v>
      </c>
      <c r="U12" s="11" t="s">
        <v>76</v>
      </c>
      <c r="V12" s="11" t="s">
        <v>75</v>
      </c>
      <c r="W12" s="11" t="s">
        <v>75</v>
      </c>
      <c r="X12" s="11" t="s">
        <v>90</v>
      </c>
      <c r="Y12" s="10">
        <v>10</v>
      </c>
      <c r="Z12" s="11" t="s">
        <v>139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90" x14ac:dyDescent="0.25">
      <c r="A13" s="11"/>
      <c r="B13" s="11"/>
      <c r="C13" s="11" t="s">
        <v>33</v>
      </c>
      <c r="D13" s="9" t="s">
        <v>47</v>
      </c>
      <c r="E13" s="10">
        <v>10</v>
      </c>
      <c r="F13" s="11" t="s">
        <v>140</v>
      </c>
      <c r="G13" s="11" t="s">
        <v>141</v>
      </c>
      <c r="H13" s="11" t="s">
        <v>74</v>
      </c>
      <c r="I13" s="11" t="s">
        <v>75</v>
      </c>
      <c r="J13" s="11" t="s">
        <v>142</v>
      </c>
      <c r="K13" s="11" t="s">
        <v>143</v>
      </c>
      <c r="L13" s="10">
        <v>10</v>
      </c>
      <c r="M13" s="11" t="s">
        <v>74</v>
      </c>
      <c r="N13" s="11" t="s">
        <v>75</v>
      </c>
      <c r="O13" s="11" t="s">
        <v>144</v>
      </c>
      <c r="P13" s="10">
        <v>10</v>
      </c>
      <c r="Q13" s="11" t="s">
        <v>74</v>
      </c>
      <c r="R13" s="11" t="s">
        <v>75</v>
      </c>
      <c r="S13" s="11" t="s">
        <v>74</v>
      </c>
      <c r="T13" s="11" t="s">
        <v>75</v>
      </c>
      <c r="U13" s="11" t="s">
        <v>76</v>
      </c>
      <c r="V13" s="11" t="s">
        <v>75</v>
      </c>
      <c r="W13" s="11" t="s">
        <v>122</v>
      </c>
      <c r="X13" s="11" t="s">
        <v>78</v>
      </c>
      <c r="Y13" s="10">
        <v>10</v>
      </c>
      <c r="Z13" s="11" t="s">
        <v>145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45" x14ac:dyDescent="0.25">
      <c r="A14" s="11"/>
      <c r="B14" s="11"/>
      <c r="C14" s="11" t="s">
        <v>41</v>
      </c>
      <c r="D14" s="9" t="s">
        <v>48</v>
      </c>
      <c r="E14" s="10">
        <v>6</v>
      </c>
      <c r="F14" s="11" t="s">
        <v>146</v>
      </c>
      <c r="G14" s="11" t="s">
        <v>147</v>
      </c>
      <c r="H14" s="11" t="s">
        <v>74</v>
      </c>
      <c r="I14" s="11" t="s">
        <v>75</v>
      </c>
      <c r="J14" s="11" t="s">
        <v>148</v>
      </c>
      <c r="K14" s="11" t="s">
        <v>149</v>
      </c>
      <c r="L14" s="10">
        <v>10</v>
      </c>
      <c r="M14" s="11" t="s">
        <v>74</v>
      </c>
      <c r="N14" s="11" t="s">
        <v>75</v>
      </c>
      <c r="O14" s="11" t="s">
        <v>99</v>
      </c>
      <c r="P14" s="10">
        <v>10</v>
      </c>
      <c r="Q14" s="11" t="s">
        <v>74</v>
      </c>
      <c r="R14" s="11" t="s">
        <v>75</v>
      </c>
      <c r="S14" s="11" t="s">
        <v>74</v>
      </c>
      <c r="T14" s="11" t="s">
        <v>75</v>
      </c>
      <c r="U14" s="11" t="s">
        <v>76</v>
      </c>
      <c r="V14" s="11" t="s">
        <v>75</v>
      </c>
      <c r="W14" s="11" t="s">
        <v>150</v>
      </c>
      <c r="X14" s="11" t="s">
        <v>90</v>
      </c>
      <c r="Y14" s="10">
        <v>10</v>
      </c>
      <c r="Z14" s="11" t="s">
        <v>151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45" x14ac:dyDescent="0.25">
      <c r="A15" s="11"/>
      <c r="B15" s="11"/>
      <c r="C15" s="11" t="s">
        <v>41</v>
      </c>
      <c r="D15" s="9" t="s">
        <v>49</v>
      </c>
      <c r="E15" s="10">
        <v>10</v>
      </c>
      <c r="F15" s="11" t="s">
        <v>152</v>
      </c>
      <c r="G15" s="11" t="s">
        <v>153</v>
      </c>
      <c r="H15" s="11" t="s">
        <v>74</v>
      </c>
      <c r="I15" s="11" t="s">
        <v>75</v>
      </c>
      <c r="J15" s="11" t="s">
        <v>75</v>
      </c>
      <c r="K15" s="11" t="s">
        <v>75</v>
      </c>
      <c r="L15" s="10">
        <v>10</v>
      </c>
      <c r="M15" s="11" t="s">
        <v>74</v>
      </c>
      <c r="N15" s="11" t="s">
        <v>75</v>
      </c>
      <c r="O15" s="11" t="s">
        <v>75</v>
      </c>
      <c r="P15" s="10">
        <v>10</v>
      </c>
      <c r="Q15" s="11" t="s">
        <v>74</v>
      </c>
      <c r="R15" s="11" t="s">
        <v>75</v>
      </c>
      <c r="S15" s="11" t="s">
        <v>74</v>
      </c>
      <c r="T15" s="11" t="s">
        <v>75</v>
      </c>
      <c r="U15" s="11" t="s">
        <v>76</v>
      </c>
      <c r="V15" s="11" t="s">
        <v>75</v>
      </c>
      <c r="W15" s="11" t="s">
        <v>75</v>
      </c>
      <c r="X15" s="11" t="s">
        <v>90</v>
      </c>
      <c r="Y15" s="10">
        <v>10</v>
      </c>
      <c r="Z15" s="11" t="s">
        <v>154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75" x14ac:dyDescent="0.25">
      <c r="A16" s="11"/>
      <c r="B16" s="11"/>
      <c r="C16" s="11" t="s">
        <v>33</v>
      </c>
      <c r="D16" s="9" t="s">
        <v>50</v>
      </c>
      <c r="E16" s="10">
        <v>10</v>
      </c>
      <c r="F16" s="11" t="s">
        <v>155</v>
      </c>
      <c r="G16" s="11" t="s">
        <v>156</v>
      </c>
      <c r="H16" s="11" t="s">
        <v>74</v>
      </c>
      <c r="I16" s="11" t="s">
        <v>75</v>
      </c>
      <c r="J16" s="11" t="s">
        <v>75</v>
      </c>
      <c r="K16" s="11" t="s">
        <v>75</v>
      </c>
      <c r="L16" s="10">
        <v>10</v>
      </c>
      <c r="M16" s="11" t="s">
        <v>74</v>
      </c>
      <c r="N16" s="11" t="s">
        <v>75</v>
      </c>
      <c r="O16" s="11" t="s">
        <v>99</v>
      </c>
      <c r="P16" s="10">
        <v>10</v>
      </c>
      <c r="Q16" s="11" t="s">
        <v>74</v>
      </c>
      <c r="R16" s="11" t="s">
        <v>75</v>
      </c>
      <c r="S16" s="11" t="s">
        <v>74</v>
      </c>
      <c r="T16" s="11" t="s">
        <v>75</v>
      </c>
      <c r="U16" s="11" t="s">
        <v>76</v>
      </c>
      <c r="V16" s="11" t="s">
        <v>75</v>
      </c>
      <c r="W16" s="11" t="s">
        <v>75</v>
      </c>
      <c r="X16" s="11" t="s">
        <v>78</v>
      </c>
      <c r="Y16" s="10">
        <v>10</v>
      </c>
      <c r="Z16" s="11" t="s">
        <v>75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75" x14ac:dyDescent="0.25">
      <c r="A17" s="11"/>
      <c r="B17" s="11"/>
      <c r="C17" s="11" t="s">
        <v>33</v>
      </c>
      <c r="D17" s="9" t="s">
        <v>51</v>
      </c>
      <c r="E17" s="10">
        <v>7</v>
      </c>
      <c r="F17" s="11" t="s">
        <v>157</v>
      </c>
      <c r="G17" s="11" t="s">
        <v>158</v>
      </c>
      <c r="H17" s="11" t="s">
        <v>74</v>
      </c>
      <c r="I17" s="11" t="s">
        <v>75</v>
      </c>
      <c r="J17" s="11" t="s">
        <v>159</v>
      </c>
      <c r="K17" s="11" t="s">
        <v>75</v>
      </c>
      <c r="L17" s="10">
        <v>9</v>
      </c>
      <c r="M17" s="4" t="s">
        <v>74</v>
      </c>
      <c r="N17" s="11" t="s">
        <v>75</v>
      </c>
      <c r="O17" s="11" t="s">
        <v>99</v>
      </c>
      <c r="P17" s="10">
        <v>9</v>
      </c>
      <c r="Q17" s="4" t="s">
        <v>74</v>
      </c>
      <c r="R17" s="11" t="s">
        <v>75</v>
      </c>
      <c r="S17" s="4" t="s">
        <v>74</v>
      </c>
      <c r="T17" s="11" t="s">
        <v>75</v>
      </c>
      <c r="U17" s="4" t="s">
        <v>76</v>
      </c>
      <c r="V17" s="11" t="s">
        <v>75</v>
      </c>
      <c r="W17" s="11" t="s">
        <v>75</v>
      </c>
      <c r="X17" s="11" t="s">
        <v>90</v>
      </c>
      <c r="Y17" s="10">
        <v>10</v>
      </c>
      <c r="Z17" s="11" t="s">
        <v>160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60" x14ac:dyDescent="0.25">
      <c r="A18" s="11"/>
      <c r="B18" s="11"/>
      <c r="C18" s="11" t="s">
        <v>33</v>
      </c>
      <c r="D18" s="9" t="s">
        <v>52</v>
      </c>
      <c r="E18" s="10">
        <v>10</v>
      </c>
      <c r="F18" s="11" t="s">
        <v>161</v>
      </c>
      <c r="G18" s="11" t="s">
        <v>162</v>
      </c>
      <c r="H18" s="11" t="s">
        <v>74</v>
      </c>
      <c r="I18" s="11" t="s">
        <v>75</v>
      </c>
      <c r="J18" s="11" t="s">
        <v>163</v>
      </c>
      <c r="K18" s="11" t="s">
        <v>164</v>
      </c>
      <c r="L18" s="10">
        <v>10</v>
      </c>
      <c r="M18" s="4" t="s">
        <v>74</v>
      </c>
      <c r="N18" s="11" t="s">
        <v>75</v>
      </c>
      <c r="O18" s="11" t="s">
        <v>165</v>
      </c>
      <c r="P18" s="10">
        <v>10</v>
      </c>
      <c r="Q18" s="4" t="s">
        <v>74</v>
      </c>
      <c r="R18" s="11" t="s">
        <v>75</v>
      </c>
      <c r="S18" s="4" t="s">
        <v>74</v>
      </c>
      <c r="T18" s="11" t="s">
        <v>75</v>
      </c>
      <c r="U18" s="4" t="s">
        <v>76</v>
      </c>
      <c r="V18" s="11" t="s">
        <v>75</v>
      </c>
      <c r="W18" s="11" t="s">
        <v>166</v>
      </c>
      <c r="X18" s="11" t="s">
        <v>78</v>
      </c>
      <c r="Y18" s="10">
        <v>10</v>
      </c>
      <c r="Z18" s="11" t="s">
        <v>167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60" x14ac:dyDescent="0.25">
      <c r="A19" s="11"/>
      <c r="B19" s="11"/>
      <c r="C19" s="11" t="s">
        <v>33</v>
      </c>
      <c r="D19" s="9" t="s">
        <v>53</v>
      </c>
      <c r="E19" s="10">
        <v>10</v>
      </c>
      <c r="F19" s="11" t="s">
        <v>168</v>
      </c>
      <c r="G19" s="11" t="s">
        <v>169</v>
      </c>
      <c r="H19" s="11" t="s">
        <v>74</v>
      </c>
      <c r="I19" s="11" t="s">
        <v>75</v>
      </c>
      <c r="J19" s="11" t="s">
        <v>170</v>
      </c>
      <c r="K19" s="11" t="s">
        <v>171</v>
      </c>
      <c r="L19" s="10">
        <v>6</v>
      </c>
      <c r="M19" s="4" t="s">
        <v>74</v>
      </c>
      <c r="N19" s="11" t="s">
        <v>75</v>
      </c>
      <c r="O19" s="11" t="s">
        <v>75</v>
      </c>
      <c r="P19" s="10">
        <v>10</v>
      </c>
      <c r="Q19" s="4" t="s">
        <v>74</v>
      </c>
      <c r="R19" s="11" t="s">
        <v>75</v>
      </c>
      <c r="S19" s="4" t="s">
        <v>74</v>
      </c>
      <c r="T19" s="11" t="s">
        <v>75</v>
      </c>
      <c r="U19" s="4" t="s">
        <v>76</v>
      </c>
      <c r="V19" s="11" t="s">
        <v>75</v>
      </c>
      <c r="W19" s="11" t="s">
        <v>75</v>
      </c>
      <c r="X19" s="11" t="s">
        <v>78</v>
      </c>
      <c r="Y19" s="10">
        <v>10</v>
      </c>
      <c r="Z19" s="11" t="s">
        <v>172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90" x14ac:dyDescent="0.25">
      <c r="A20" s="11"/>
      <c r="B20" s="11"/>
      <c r="C20" s="11" t="s">
        <v>33</v>
      </c>
      <c r="D20" s="9" t="s">
        <v>54</v>
      </c>
      <c r="E20" s="10">
        <v>10</v>
      </c>
      <c r="F20" s="11" t="s">
        <v>173</v>
      </c>
      <c r="G20" s="11" t="s">
        <v>174</v>
      </c>
      <c r="H20" s="11" t="s">
        <v>74</v>
      </c>
      <c r="I20" s="11" t="s">
        <v>75</v>
      </c>
      <c r="J20" s="11" t="s">
        <v>170</v>
      </c>
      <c r="K20" s="11" t="s">
        <v>175</v>
      </c>
      <c r="L20" s="10">
        <v>10</v>
      </c>
      <c r="M20" s="4" t="s">
        <v>74</v>
      </c>
      <c r="N20" s="11" t="s">
        <v>75</v>
      </c>
      <c r="O20" s="11" t="s">
        <v>176</v>
      </c>
      <c r="P20" s="10">
        <v>10</v>
      </c>
      <c r="Q20" s="4" t="s">
        <v>74</v>
      </c>
      <c r="R20" s="11" t="s">
        <v>75</v>
      </c>
      <c r="S20" s="4" t="s">
        <v>74</v>
      </c>
      <c r="T20" s="11" t="s">
        <v>75</v>
      </c>
      <c r="U20" s="4" t="s">
        <v>76</v>
      </c>
      <c r="V20" s="11" t="s">
        <v>75</v>
      </c>
      <c r="W20" s="11" t="s">
        <v>177</v>
      </c>
      <c r="X20" s="11" t="s">
        <v>78</v>
      </c>
      <c r="Y20" s="10">
        <v>10</v>
      </c>
      <c r="Z20" s="11" t="s">
        <v>178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45" x14ac:dyDescent="0.25">
      <c r="A21" s="11"/>
      <c r="B21" s="11"/>
      <c r="C21" s="11" t="s">
        <v>41</v>
      </c>
      <c r="D21" s="9" t="s">
        <v>55</v>
      </c>
      <c r="E21" s="10">
        <v>9</v>
      </c>
      <c r="F21" s="11" t="s">
        <v>179</v>
      </c>
      <c r="G21" s="11" t="s">
        <v>180</v>
      </c>
      <c r="H21" s="11" t="s">
        <v>74</v>
      </c>
      <c r="I21" s="11" t="s">
        <v>75</v>
      </c>
      <c r="J21" s="11" t="s">
        <v>181</v>
      </c>
      <c r="K21" s="11" t="s">
        <v>182</v>
      </c>
      <c r="L21" s="10">
        <v>10</v>
      </c>
      <c r="M21" s="4" t="s">
        <v>74</v>
      </c>
      <c r="N21" s="11" t="s">
        <v>75</v>
      </c>
      <c r="O21" s="11" t="s">
        <v>99</v>
      </c>
      <c r="P21" s="10">
        <v>10</v>
      </c>
      <c r="Q21" s="4" t="s">
        <v>74</v>
      </c>
      <c r="R21" s="11" t="s">
        <v>75</v>
      </c>
      <c r="S21" s="4" t="s">
        <v>74</v>
      </c>
      <c r="T21" s="11" t="s">
        <v>75</v>
      </c>
      <c r="U21" s="4" t="s">
        <v>76</v>
      </c>
      <c r="V21" s="11" t="s">
        <v>75</v>
      </c>
      <c r="W21" s="11" t="s">
        <v>107</v>
      </c>
      <c r="X21" s="11" t="s">
        <v>90</v>
      </c>
      <c r="Y21" s="10">
        <v>10</v>
      </c>
      <c r="Z21" s="11" t="s">
        <v>183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105" x14ac:dyDescent="0.25">
      <c r="A22" s="11"/>
      <c r="B22" s="11"/>
      <c r="C22" s="11" t="s">
        <v>33</v>
      </c>
      <c r="D22" s="9" t="s">
        <v>56</v>
      </c>
      <c r="E22" s="10">
        <v>6</v>
      </c>
      <c r="F22" s="11" t="s">
        <v>184</v>
      </c>
      <c r="G22" s="11" t="s">
        <v>185</v>
      </c>
      <c r="H22" s="11" t="s">
        <v>74</v>
      </c>
      <c r="I22" s="11" t="s">
        <v>75</v>
      </c>
      <c r="J22" s="11" t="s">
        <v>186</v>
      </c>
      <c r="K22" s="11" t="s">
        <v>187</v>
      </c>
      <c r="L22" s="10">
        <v>10</v>
      </c>
      <c r="M22" s="4" t="s">
        <v>74</v>
      </c>
      <c r="N22" s="11" t="s">
        <v>75</v>
      </c>
      <c r="O22" s="11" t="s">
        <v>75</v>
      </c>
      <c r="P22" s="10">
        <v>9</v>
      </c>
      <c r="Q22" s="4" t="s">
        <v>74</v>
      </c>
      <c r="R22" s="11" t="s">
        <v>75</v>
      </c>
      <c r="S22" s="4" t="s">
        <v>74</v>
      </c>
      <c r="T22" s="11" t="s">
        <v>75</v>
      </c>
      <c r="U22" s="4" t="s">
        <v>76</v>
      </c>
      <c r="V22" s="11" t="s">
        <v>75</v>
      </c>
      <c r="W22" s="11" t="s">
        <v>188</v>
      </c>
      <c r="X22" s="11" t="s">
        <v>90</v>
      </c>
      <c r="Y22" s="10">
        <v>10</v>
      </c>
      <c r="Z22" s="11" t="s">
        <v>189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90" x14ac:dyDescent="0.25">
      <c r="A23" s="11"/>
      <c r="B23" s="11"/>
      <c r="C23" s="11" t="s">
        <v>43</v>
      </c>
      <c r="D23" s="9" t="s">
        <v>57</v>
      </c>
      <c r="E23" s="10">
        <v>10</v>
      </c>
      <c r="F23" s="11" t="s">
        <v>190</v>
      </c>
      <c r="G23" s="11" t="s">
        <v>191</v>
      </c>
      <c r="H23" s="11" t="s">
        <v>74</v>
      </c>
      <c r="I23" s="11" t="s">
        <v>75</v>
      </c>
      <c r="J23" s="11" t="s">
        <v>192</v>
      </c>
      <c r="K23" s="11" t="s">
        <v>193</v>
      </c>
      <c r="L23" s="10">
        <v>10</v>
      </c>
      <c r="M23" s="4" t="s">
        <v>74</v>
      </c>
      <c r="N23" s="11" t="s">
        <v>75</v>
      </c>
      <c r="O23" s="11" t="s">
        <v>194</v>
      </c>
      <c r="P23" s="10">
        <v>10</v>
      </c>
      <c r="Q23" s="4" t="s">
        <v>74</v>
      </c>
      <c r="R23" s="11" t="s">
        <v>75</v>
      </c>
      <c r="S23" s="4" t="s">
        <v>74</v>
      </c>
      <c r="T23" s="11" t="s">
        <v>75</v>
      </c>
      <c r="U23" s="4" t="s">
        <v>76</v>
      </c>
      <c r="V23" s="11" t="s">
        <v>75</v>
      </c>
      <c r="W23" s="11" t="s">
        <v>195</v>
      </c>
      <c r="X23" s="11" t="s">
        <v>78</v>
      </c>
      <c r="Y23" s="10">
        <v>10</v>
      </c>
      <c r="Z23" s="11" t="s">
        <v>196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75" x14ac:dyDescent="0.25">
      <c r="A24" s="11"/>
      <c r="B24" s="11"/>
      <c r="C24" s="11" t="s">
        <v>41</v>
      </c>
      <c r="D24" s="9" t="s">
        <v>58</v>
      </c>
      <c r="E24" s="10">
        <v>10</v>
      </c>
      <c r="F24" s="11" t="s">
        <v>197</v>
      </c>
      <c r="G24" s="11" t="s">
        <v>198</v>
      </c>
      <c r="H24" s="11" t="s">
        <v>74</v>
      </c>
      <c r="I24" s="11" t="s">
        <v>75</v>
      </c>
      <c r="J24" s="11" t="s">
        <v>199</v>
      </c>
      <c r="K24" s="11" t="s">
        <v>200</v>
      </c>
      <c r="L24" s="10">
        <v>10</v>
      </c>
      <c r="M24" s="4" t="s">
        <v>74</v>
      </c>
      <c r="N24" s="11" t="s">
        <v>75</v>
      </c>
      <c r="O24" s="11" t="s">
        <v>75</v>
      </c>
      <c r="P24" s="10">
        <v>10</v>
      </c>
      <c r="Q24" s="4" t="s">
        <v>74</v>
      </c>
      <c r="R24" s="11" t="s">
        <v>75</v>
      </c>
      <c r="S24" s="4" t="s">
        <v>74</v>
      </c>
      <c r="T24" s="11" t="s">
        <v>75</v>
      </c>
      <c r="U24" s="4" t="s">
        <v>76</v>
      </c>
      <c r="V24" s="11" t="s">
        <v>75</v>
      </c>
      <c r="W24" s="11" t="s">
        <v>75</v>
      </c>
      <c r="X24" s="11" t="s">
        <v>78</v>
      </c>
      <c r="Y24" s="10">
        <v>10</v>
      </c>
      <c r="Z24" s="11" t="s">
        <v>201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75" x14ac:dyDescent="0.25">
      <c r="A25" s="11"/>
      <c r="B25" s="11"/>
      <c r="C25" s="11" t="s">
        <v>33</v>
      </c>
      <c r="D25" s="9" t="s">
        <v>59</v>
      </c>
      <c r="E25" s="10">
        <v>10</v>
      </c>
      <c r="F25" s="11" t="s">
        <v>202</v>
      </c>
      <c r="G25" s="11" t="s">
        <v>203</v>
      </c>
      <c r="H25" s="11" t="s">
        <v>74</v>
      </c>
      <c r="I25" s="11" t="s">
        <v>75</v>
      </c>
      <c r="J25" s="11" t="s">
        <v>106</v>
      </c>
      <c r="K25" s="11" t="s">
        <v>204</v>
      </c>
      <c r="L25" s="10">
        <v>10</v>
      </c>
      <c r="M25" s="4" t="s">
        <v>74</v>
      </c>
      <c r="N25" s="11" t="s">
        <v>75</v>
      </c>
      <c r="O25" s="11" t="s">
        <v>75</v>
      </c>
      <c r="P25" s="10">
        <v>10</v>
      </c>
      <c r="Q25" s="4" t="s">
        <v>74</v>
      </c>
      <c r="R25" s="11" t="s">
        <v>75</v>
      </c>
      <c r="S25" s="4" t="s">
        <v>74</v>
      </c>
      <c r="T25" s="11" t="s">
        <v>75</v>
      </c>
      <c r="U25" s="4" t="s">
        <v>76</v>
      </c>
      <c r="V25" s="11" t="s">
        <v>75</v>
      </c>
      <c r="W25" s="11" t="s">
        <v>205</v>
      </c>
      <c r="X25" s="11" t="s">
        <v>90</v>
      </c>
      <c r="Y25" s="10">
        <v>10</v>
      </c>
      <c r="Z25" s="11" t="s">
        <v>206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60" x14ac:dyDescent="0.25">
      <c r="A26" s="11"/>
      <c r="B26" s="11"/>
      <c r="C26" s="11" t="s">
        <v>41</v>
      </c>
      <c r="D26" s="9" t="s">
        <v>60</v>
      </c>
      <c r="E26" s="10">
        <v>10</v>
      </c>
      <c r="F26" s="11" t="s">
        <v>207</v>
      </c>
      <c r="G26" s="11" t="s">
        <v>208</v>
      </c>
      <c r="H26" s="11" t="s">
        <v>74</v>
      </c>
      <c r="I26" s="11" t="s">
        <v>209</v>
      </c>
      <c r="J26" s="11" t="s">
        <v>210</v>
      </c>
      <c r="K26" s="11" t="s">
        <v>211</v>
      </c>
      <c r="L26" s="10">
        <v>10</v>
      </c>
      <c r="M26" s="4" t="s">
        <v>74</v>
      </c>
      <c r="N26" s="11" t="s">
        <v>75</v>
      </c>
      <c r="O26" s="11" t="s">
        <v>212</v>
      </c>
      <c r="P26" s="10">
        <v>10</v>
      </c>
      <c r="Q26" s="4" t="s">
        <v>74</v>
      </c>
      <c r="R26" s="11" t="s">
        <v>75</v>
      </c>
      <c r="S26" s="4" t="s">
        <v>74</v>
      </c>
      <c r="T26" s="11" t="s">
        <v>75</v>
      </c>
      <c r="U26" s="4" t="s">
        <v>76</v>
      </c>
      <c r="V26" s="11" t="s">
        <v>75</v>
      </c>
      <c r="W26" s="11" t="s">
        <v>213</v>
      </c>
      <c r="X26" s="11" t="s">
        <v>90</v>
      </c>
      <c r="Y26" s="10">
        <v>10</v>
      </c>
      <c r="Z26" s="11" t="s">
        <v>214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300" x14ac:dyDescent="0.25">
      <c r="A27" s="11"/>
      <c r="B27" s="11"/>
      <c r="C27" s="11" t="s">
        <v>33</v>
      </c>
      <c r="D27" s="9" t="s">
        <v>61</v>
      </c>
      <c r="E27" s="10">
        <v>6</v>
      </c>
      <c r="F27" s="11" t="s">
        <v>215</v>
      </c>
      <c r="G27" s="11" t="s">
        <v>216</v>
      </c>
      <c r="H27" s="11" t="s">
        <v>74</v>
      </c>
      <c r="I27" s="11" t="s">
        <v>75</v>
      </c>
      <c r="J27" s="11" t="s">
        <v>217</v>
      </c>
      <c r="K27" s="11" t="s">
        <v>218</v>
      </c>
      <c r="L27" s="10">
        <v>5</v>
      </c>
      <c r="M27" s="4" t="s">
        <v>74</v>
      </c>
      <c r="N27" s="11" t="s">
        <v>75</v>
      </c>
      <c r="O27" s="11" t="s">
        <v>219</v>
      </c>
      <c r="P27" s="10">
        <v>10</v>
      </c>
      <c r="Q27" s="4" t="s">
        <v>74</v>
      </c>
      <c r="R27" s="11" t="s">
        <v>75</v>
      </c>
      <c r="S27" s="4" t="s">
        <v>74</v>
      </c>
      <c r="T27" s="11" t="s">
        <v>75</v>
      </c>
      <c r="U27" s="4" t="s">
        <v>76</v>
      </c>
      <c r="V27" s="11" t="s">
        <v>75</v>
      </c>
      <c r="W27" s="11" t="s">
        <v>220</v>
      </c>
      <c r="X27" s="11" t="s">
        <v>78</v>
      </c>
      <c r="Y27" s="10">
        <v>10</v>
      </c>
      <c r="Z27" s="11" t="s">
        <v>221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60" x14ac:dyDescent="0.25">
      <c r="A28" s="11"/>
      <c r="B28" s="11"/>
      <c r="C28" s="11" t="s">
        <v>33</v>
      </c>
      <c r="D28" s="9" t="s">
        <v>62</v>
      </c>
      <c r="E28" s="10">
        <v>10</v>
      </c>
      <c r="F28" s="11" t="s">
        <v>222</v>
      </c>
      <c r="G28" s="11" t="s">
        <v>223</v>
      </c>
      <c r="H28" s="11" t="s">
        <v>74</v>
      </c>
      <c r="I28" s="11" t="s">
        <v>75</v>
      </c>
      <c r="J28" s="11" t="s">
        <v>106</v>
      </c>
      <c r="K28" s="11" t="s">
        <v>224</v>
      </c>
      <c r="L28" s="10">
        <v>10</v>
      </c>
      <c r="M28" s="4" t="s">
        <v>74</v>
      </c>
      <c r="N28" s="11" t="s">
        <v>75</v>
      </c>
      <c r="O28" s="11" t="s">
        <v>76</v>
      </c>
      <c r="P28" s="10">
        <v>10</v>
      </c>
      <c r="Q28" s="4" t="s">
        <v>74</v>
      </c>
      <c r="R28" s="11" t="s">
        <v>75</v>
      </c>
      <c r="S28" s="4" t="s">
        <v>74</v>
      </c>
      <c r="T28" s="11" t="s">
        <v>75</v>
      </c>
      <c r="U28" s="4" t="s">
        <v>76</v>
      </c>
      <c r="V28" s="11" t="s">
        <v>75</v>
      </c>
      <c r="W28" s="11" t="s">
        <v>76</v>
      </c>
      <c r="X28" s="11" t="s">
        <v>78</v>
      </c>
      <c r="Y28" s="10">
        <v>10</v>
      </c>
      <c r="Z28" s="11" t="s">
        <v>75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60" x14ac:dyDescent="0.25">
      <c r="A29" s="11"/>
      <c r="B29" s="11"/>
      <c r="C29" s="11" t="s">
        <v>33</v>
      </c>
      <c r="D29" s="9" t="s">
        <v>63</v>
      </c>
      <c r="E29" s="10">
        <v>10</v>
      </c>
      <c r="F29" s="11" t="s">
        <v>225</v>
      </c>
      <c r="G29" s="11" t="s">
        <v>226</v>
      </c>
      <c r="H29" s="11" t="s">
        <v>74</v>
      </c>
      <c r="I29" s="11" t="s">
        <v>75</v>
      </c>
      <c r="J29" s="11" t="s">
        <v>137</v>
      </c>
      <c r="K29" s="11" t="s">
        <v>227</v>
      </c>
      <c r="L29" s="10">
        <v>8</v>
      </c>
      <c r="M29" s="4" t="s">
        <v>74</v>
      </c>
      <c r="N29" s="11" t="s">
        <v>75</v>
      </c>
      <c r="O29" s="11" t="s">
        <v>99</v>
      </c>
      <c r="P29" s="10">
        <v>10</v>
      </c>
      <c r="Q29" s="4" t="s">
        <v>74</v>
      </c>
      <c r="R29" s="11" t="s">
        <v>75</v>
      </c>
      <c r="S29" s="4" t="s">
        <v>74</v>
      </c>
      <c r="T29" s="11" t="s">
        <v>75</v>
      </c>
      <c r="U29" s="4" t="s">
        <v>76</v>
      </c>
      <c r="V29" s="11" t="s">
        <v>75</v>
      </c>
      <c r="W29" s="11" t="s">
        <v>107</v>
      </c>
      <c r="X29" s="11" t="s">
        <v>90</v>
      </c>
      <c r="Y29" s="10">
        <v>9</v>
      </c>
      <c r="Z29" s="11" t="s">
        <v>228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45" x14ac:dyDescent="0.25">
      <c r="A30" s="11"/>
      <c r="B30" s="11"/>
      <c r="C30" s="11" t="s">
        <v>33</v>
      </c>
      <c r="D30" s="9" t="s">
        <v>64</v>
      </c>
      <c r="E30" s="10">
        <v>10</v>
      </c>
      <c r="F30" s="11" t="s">
        <v>229</v>
      </c>
      <c r="G30" s="11" t="s">
        <v>230</v>
      </c>
      <c r="H30" s="11" t="s">
        <v>74</v>
      </c>
      <c r="I30" s="11" t="s">
        <v>231</v>
      </c>
      <c r="J30" s="11" t="s">
        <v>232</v>
      </c>
      <c r="K30" s="11" t="s">
        <v>149</v>
      </c>
      <c r="L30" s="10">
        <v>10</v>
      </c>
      <c r="M30" s="4" t="s">
        <v>74</v>
      </c>
      <c r="N30" s="11" t="s">
        <v>231</v>
      </c>
      <c r="O30" s="11" t="s">
        <v>233</v>
      </c>
      <c r="P30" s="10">
        <v>10</v>
      </c>
      <c r="Q30" s="4" t="s">
        <v>74</v>
      </c>
      <c r="R30" s="11" t="s">
        <v>234</v>
      </c>
      <c r="S30" s="4" t="s">
        <v>74</v>
      </c>
      <c r="T30" s="11" t="s">
        <v>235</v>
      </c>
      <c r="U30" s="4" t="s">
        <v>76</v>
      </c>
      <c r="V30" s="11" t="s">
        <v>234</v>
      </c>
      <c r="W30" s="11" t="s">
        <v>236</v>
      </c>
      <c r="X30" s="11" t="s">
        <v>90</v>
      </c>
      <c r="Y30" s="10">
        <v>10</v>
      </c>
      <c r="Z30" s="11" t="s">
        <v>237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60" x14ac:dyDescent="0.25">
      <c r="A31" s="11"/>
      <c r="B31" s="11"/>
      <c r="C31" s="11" t="s">
        <v>33</v>
      </c>
      <c r="D31" s="9" t="s">
        <v>65</v>
      </c>
      <c r="E31" s="10">
        <v>10</v>
      </c>
      <c r="F31" s="11" t="s">
        <v>238</v>
      </c>
      <c r="G31" s="11" t="s">
        <v>239</v>
      </c>
      <c r="H31" s="11" t="s">
        <v>74</v>
      </c>
      <c r="I31" s="11" t="s">
        <v>75</v>
      </c>
      <c r="J31" s="11" t="s">
        <v>240</v>
      </c>
      <c r="K31" s="11" t="s">
        <v>241</v>
      </c>
      <c r="L31" s="10">
        <v>10</v>
      </c>
      <c r="M31" s="4" t="s">
        <v>74</v>
      </c>
      <c r="N31" s="11" t="s">
        <v>75</v>
      </c>
      <c r="O31" s="11" t="s">
        <v>99</v>
      </c>
      <c r="P31" s="10">
        <v>10</v>
      </c>
      <c r="Q31" s="4" t="s">
        <v>74</v>
      </c>
      <c r="R31" s="11" t="s">
        <v>75</v>
      </c>
      <c r="S31" s="4" t="s">
        <v>74</v>
      </c>
      <c r="T31" s="11" t="s">
        <v>75</v>
      </c>
      <c r="U31" s="4" t="s">
        <v>76</v>
      </c>
      <c r="V31" s="11" t="s">
        <v>75</v>
      </c>
      <c r="W31" s="11" t="s">
        <v>242</v>
      </c>
      <c r="X31" s="11" t="s">
        <v>78</v>
      </c>
      <c r="Y31" s="10">
        <v>10</v>
      </c>
      <c r="Z31" s="11" t="s">
        <v>243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ht="45" x14ac:dyDescent="0.25">
      <c r="A32" s="11"/>
      <c r="B32" s="11"/>
      <c r="C32" s="11" t="s">
        <v>33</v>
      </c>
      <c r="D32" s="9" t="s">
        <v>66</v>
      </c>
      <c r="E32" s="10">
        <v>8</v>
      </c>
      <c r="F32" s="11" t="s">
        <v>244</v>
      </c>
      <c r="G32" s="11" t="s">
        <v>245</v>
      </c>
      <c r="H32" s="11" t="s">
        <v>74</v>
      </c>
      <c r="I32" s="11" t="s">
        <v>75</v>
      </c>
      <c r="J32" s="11" t="s">
        <v>246</v>
      </c>
      <c r="K32" s="11" t="s">
        <v>247</v>
      </c>
      <c r="L32" s="10">
        <v>8</v>
      </c>
      <c r="M32" s="4" t="s">
        <v>74</v>
      </c>
      <c r="N32" s="11" t="s">
        <v>248</v>
      </c>
      <c r="O32" s="11" t="s">
        <v>99</v>
      </c>
      <c r="P32" s="10">
        <v>10</v>
      </c>
      <c r="Q32" s="4" t="s">
        <v>74</v>
      </c>
      <c r="R32" s="11" t="s">
        <v>74</v>
      </c>
      <c r="S32" s="4" t="s">
        <v>74</v>
      </c>
      <c r="T32" s="11" t="s">
        <v>249</v>
      </c>
      <c r="U32" s="4" t="s">
        <v>76</v>
      </c>
      <c r="V32" s="11" t="s">
        <v>250</v>
      </c>
      <c r="W32" s="11" t="s">
        <v>251</v>
      </c>
      <c r="X32" s="11" t="s">
        <v>90</v>
      </c>
      <c r="Y32" s="10">
        <v>10</v>
      </c>
      <c r="Z32" s="11" t="s">
        <v>252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ht="45" x14ac:dyDescent="0.25">
      <c r="A33" s="11"/>
      <c r="B33" s="11"/>
      <c r="C33" s="11" t="s">
        <v>33</v>
      </c>
      <c r="D33" s="9" t="s">
        <v>67</v>
      </c>
      <c r="E33" s="10">
        <v>10</v>
      </c>
      <c r="F33" s="11" t="s">
        <v>253</v>
      </c>
      <c r="G33" s="11" t="s">
        <v>254</v>
      </c>
      <c r="H33" s="11" t="s">
        <v>74</v>
      </c>
      <c r="I33" s="11" t="s">
        <v>75</v>
      </c>
      <c r="J33" s="11" t="s">
        <v>255</v>
      </c>
      <c r="K33" s="11" t="s">
        <v>256</v>
      </c>
      <c r="L33" s="10">
        <v>5</v>
      </c>
      <c r="M33" s="4" t="s">
        <v>74</v>
      </c>
      <c r="N33" s="11" t="s">
        <v>75</v>
      </c>
      <c r="O33" s="11" t="s">
        <v>257</v>
      </c>
      <c r="P33" s="10">
        <v>10</v>
      </c>
      <c r="Q33" s="4" t="s">
        <v>74</v>
      </c>
      <c r="R33" s="11" t="s">
        <v>75</v>
      </c>
      <c r="S33" s="4" t="s">
        <v>74</v>
      </c>
      <c r="T33" s="11" t="s">
        <v>75</v>
      </c>
      <c r="U33" s="4" t="s">
        <v>76</v>
      </c>
      <c r="V33" s="11" t="s">
        <v>75</v>
      </c>
      <c r="W33" s="11" t="s">
        <v>258</v>
      </c>
      <c r="X33" s="11" t="s">
        <v>90</v>
      </c>
      <c r="Y33" s="10">
        <v>10</v>
      </c>
      <c r="Z33" s="11" t="s">
        <v>259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ht="45" x14ac:dyDescent="0.25">
      <c r="A34" s="11"/>
      <c r="B34" s="11"/>
      <c r="C34" s="11" t="s">
        <v>33</v>
      </c>
      <c r="D34" s="9" t="s">
        <v>68</v>
      </c>
      <c r="E34" s="10">
        <v>9</v>
      </c>
      <c r="F34" s="11" t="s">
        <v>260</v>
      </c>
      <c r="G34" s="11" t="s">
        <v>261</v>
      </c>
      <c r="H34" s="11" t="s">
        <v>74</v>
      </c>
      <c r="I34" s="11" t="s">
        <v>119</v>
      </c>
      <c r="J34" s="11" t="s">
        <v>262</v>
      </c>
      <c r="K34" s="11" t="s">
        <v>75</v>
      </c>
      <c r="L34" s="10">
        <v>9</v>
      </c>
      <c r="M34" s="4" t="s">
        <v>74</v>
      </c>
      <c r="N34" s="11" t="s">
        <v>75</v>
      </c>
      <c r="O34" s="11" t="s">
        <v>75</v>
      </c>
      <c r="P34" s="10">
        <v>10</v>
      </c>
      <c r="Q34" s="4" t="s">
        <v>74</v>
      </c>
      <c r="R34" s="11" t="s">
        <v>75</v>
      </c>
      <c r="S34" s="4" t="s">
        <v>74</v>
      </c>
      <c r="T34" s="11" t="s">
        <v>75</v>
      </c>
      <c r="U34" s="4" t="s">
        <v>76</v>
      </c>
      <c r="V34" s="11" t="s">
        <v>263</v>
      </c>
      <c r="W34" s="11" t="s">
        <v>264</v>
      </c>
      <c r="X34" s="11" t="s">
        <v>90</v>
      </c>
      <c r="Y34" s="10">
        <v>10</v>
      </c>
      <c r="Z34" s="11" t="s">
        <v>265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ht="60" x14ac:dyDescent="0.25">
      <c r="A35" s="11"/>
      <c r="B35" s="11"/>
      <c r="C35" s="11" t="s">
        <v>69</v>
      </c>
      <c r="D35" s="9" t="s">
        <v>70</v>
      </c>
      <c r="E35" s="10">
        <v>10</v>
      </c>
      <c r="F35" s="11" t="s">
        <v>266</v>
      </c>
      <c r="G35" s="11" t="s">
        <v>267</v>
      </c>
      <c r="H35" s="11" t="s">
        <v>74</v>
      </c>
      <c r="I35" s="11" t="s">
        <v>75</v>
      </c>
      <c r="J35" s="11" t="s">
        <v>85</v>
      </c>
      <c r="K35" s="11" t="s">
        <v>268</v>
      </c>
      <c r="L35" s="10">
        <v>10</v>
      </c>
      <c r="M35" s="4" t="s">
        <v>74</v>
      </c>
      <c r="N35" s="11" t="s">
        <v>75</v>
      </c>
      <c r="O35" s="11" t="s">
        <v>85</v>
      </c>
      <c r="P35" s="10">
        <v>10</v>
      </c>
      <c r="Q35" s="4" t="s">
        <v>74</v>
      </c>
      <c r="R35" s="11" t="s">
        <v>75</v>
      </c>
      <c r="S35" s="4" t="s">
        <v>74</v>
      </c>
      <c r="T35" s="11" t="s">
        <v>75</v>
      </c>
      <c r="U35" s="4" t="s">
        <v>76</v>
      </c>
      <c r="V35" s="11" t="s">
        <v>269</v>
      </c>
      <c r="W35" s="11" t="s">
        <v>270</v>
      </c>
      <c r="X35" s="11" t="s">
        <v>78</v>
      </c>
      <c r="Y35" s="10">
        <v>10</v>
      </c>
      <c r="Z35" s="11" t="s">
        <v>271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ht="60" x14ac:dyDescent="0.25">
      <c r="A36" s="11"/>
      <c r="B36" s="11"/>
      <c r="C36" s="11" t="s">
        <v>33</v>
      </c>
      <c r="D36" s="9" t="s">
        <v>71</v>
      </c>
      <c r="E36" s="10">
        <v>10</v>
      </c>
      <c r="F36" s="11" t="s">
        <v>272</v>
      </c>
      <c r="G36" s="11" t="s">
        <v>273</v>
      </c>
      <c r="H36" s="11" t="s">
        <v>74</v>
      </c>
      <c r="I36" s="11" t="s">
        <v>75</v>
      </c>
      <c r="J36" s="11" t="s">
        <v>274</v>
      </c>
      <c r="K36" s="11" t="s">
        <v>275</v>
      </c>
      <c r="L36" s="10">
        <v>10</v>
      </c>
      <c r="M36" s="4" t="s">
        <v>74</v>
      </c>
      <c r="N36" s="11" t="s">
        <v>75</v>
      </c>
      <c r="O36" s="11" t="s">
        <v>75</v>
      </c>
      <c r="P36" s="10">
        <v>10</v>
      </c>
      <c r="Q36" s="4" t="s">
        <v>74</v>
      </c>
      <c r="R36" s="11" t="s">
        <v>75</v>
      </c>
      <c r="S36" s="4" t="s">
        <v>74</v>
      </c>
      <c r="T36" s="11" t="s">
        <v>75</v>
      </c>
      <c r="U36" s="4" t="s">
        <v>76</v>
      </c>
      <c r="V36" s="11" t="s">
        <v>75</v>
      </c>
      <c r="W36" s="11" t="s">
        <v>107</v>
      </c>
      <c r="X36" s="11" t="s">
        <v>78</v>
      </c>
      <c r="Y36" s="10">
        <v>10</v>
      </c>
      <c r="Z36" s="11" t="s">
        <v>172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G4" sqref="G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2" t="s">
        <v>6</v>
      </c>
      <c r="C2" s="12"/>
      <c r="D2" s="12"/>
      <c r="E2" s="12"/>
      <c r="F2" s="12"/>
      <c r="G2" s="12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9.4</v>
      </c>
      <c r="C4" s="8">
        <f>AVERAGE('Исходные данные (итог. анкета)'!L:L)</f>
        <v>9.4285714285714288</v>
      </c>
      <c r="D4" s="8">
        <f>AVERAGE('Исходные данные (итог. анкета)'!P:P)</f>
        <v>9.9428571428571431</v>
      </c>
      <c r="E4" s="7">
        <f>COUNTIF('Исходные данные (итог. анкета)'!U:U,"нет")/COUNTA('Исходные данные (итог. анкета)'!U2:U499)</f>
        <v>0.97142857142857142</v>
      </c>
      <c r="F4" s="8">
        <f>AVERAGE('Исходные данные (итог. анкета)'!Y:Y)</f>
        <v>9.9714285714285715</v>
      </c>
      <c r="G4" s="8">
        <f>AVERAGE(B4:D4,F4)</f>
        <v>9.6857142857142868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2026-07-01T10:24:55Z</dcterms:modified>
</cp:coreProperties>
</file>