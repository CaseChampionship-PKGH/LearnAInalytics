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<sst xmlns="http://schemas.openxmlformats.org/spreadsheetml/2006/main" count="273" uniqueCount="126">
  <si>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</si>
  <si>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</si>
  <si>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</si>
  <si>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</si>
  <si>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</si>
  <si>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</si>
  <si>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</si>
  <si>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</si>
  <si>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</si>
  <si>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</si>
  <si>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</si>
  <si>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</si>
  <si>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</si>
  <si>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</si>
  <si>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</si>
  <si>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</si>
  <si>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</si>
  <si>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</si>
  <si>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</si>
  <si>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</si>
  <si>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</si>
  <si>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</si>
  <si>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</si>
  <si>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</si>
  <si>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</si>
  <si>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</si>
  <si>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</si>
  <si>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</si>
  <si>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</si>
  <si>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</si>
  <si>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</si>
  <si>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</si>
  <si>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</si>
  <si>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</si>
  <si>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важно в работе</t>
  </si>
  <si>
    <t>психология общения</t>
  </si>
  <si>
    <t>управление конфликтами</t>
  </si>
  <si>
    <t>да</t>
  </si>
  <si>
    <t>-</t>
  </si>
  <si>
    <t>нет таких</t>
  </si>
  <si>
    <t>нет</t>
  </si>
  <si>
    <t>нечего менять</t>
  </si>
  <si>
    <t>ничего</t>
  </si>
  <si>
    <t>смешанное обучение: частично очно, частично дистанционно</t>
  </si>
  <si>
    <t>все понравилось</t>
  </si>
  <si>
    <t>Повышение квалификации</t>
  </si>
  <si>
    <t>Как взаимодействовать с ветеранами боевых действий?
Как выходить из конфликта?
Какими инструментами руководствоваться при разрешении конфликта?</t>
  </si>
  <si>
    <t>Многие навыки я смогу проявить в профессиональной деятельности, а так же в личной жизни.
(Как выходить из конфликта, какими инструментами руководствоваться при разрешении конфликта и тд)</t>
  </si>
  <si>
    <t>Не нужно ничего исключать.</t>
  </si>
  <si>
    <t>Программа составлена актуально на сегодняшний день</t>
  </si>
  <si>
    <t>Ничего.</t>
  </si>
  <si>
    <t>Не знаю, меня всё устроило.</t>
  </si>
  <si>
    <t>очное обучение в аудиториях Корпоративного университета</t>
  </si>
  <si>
    <t>Мне всё понравилось, первое обучение и такой прекрасный опыт.</t>
  </si>
  <si>
    <t>в соответствии с планом обучения</t>
  </si>
  <si>
    <t>разрешение конфликтных ситуаций</t>
  </si>
  <si>
    <t>все</t>
  </si>
  <si>
    <t>все прозрачно</t>
  </si>
  <si>
    <t>по плану обучения</t>
  </si>
  <si>
    <t>Психология и разрешение конфликта</t>
  </si>
  <si>
    <t>Разрешение конфликта</t>
  </si>
  <si>
    <t>Нет</t>
  </si>
  <si>
    <t>Всё в тему</t>
  </si>
  <si>
    <t>Всё норм</t>
  </si>
  <si>
    <t>_</t>
  </si>
  <si>
    <t>Без выбора.</t>
  </si>
  <si>
    <t>В соответствии с планом обучения</t>
  </si>
  <si>
    <t>вопросы психологии общеня</t>
  </si>
  <si>
    <t>разрешения конфликтов</t>
  </si>
  <si>
    <t>достигнут</t>
  </si>
  <si>
    <t>больше практических примеров</t>
  </si>
  <si>
    <t>полностью дистанционный формат обучения</t>
  </si>
  <si>
    <t>выбор очевиден</t>
  </si>
  <si>
    <t>В соответствии с графиком повышения квалификации государственных гражданских служащих</t>
  </si>
  <si>
    <t>Психологические аспекты общения</t>
  </si>
  <si>
    <t>Навык избегания конфликов</t>
  </si>
  <si>
    <t>Ничего не надо исключать</t>
  </si>
  <si>
    <t>Затрудняюсь ответить</t>
  </si>
  <si>
    <t>Добавить количество практических занятий</t>
  </si>
  <si>
    <t>Я был предельно вовлечён</t>
  </si>
  <si>
    <t>Всё чётко, понятно и без каких-либо задержек</t>
  </si>
  <si>
    <t>Для повышения профессиональной квалификации</t>
  </si>
  <si>
    <t>Психология конфликта, и разрешение конфликтных ситуаций</t>
  </si>
  <si>
    <t>Навыки самоконтроля, и более эффективной коммуникации, бесконфликтное решение проблем, лучшее понимание оппонента в диалоге</t>
  </si>
  <si>
    <t>Можно никакие не исключать</t>
  </si>
  <si>
    <t>Никакие</t>
  </si>
  <si>
    <t>Ничего</t>
  </si>
  <si>
    <t>Все устроило</t>
  </si>
  <si>
    <t>для повышения профессиональной квалификации</t>
  </si>
  <si>
    <t>психология конфликта и решение конфликтных ситуаций</t>
  </si>
  <si>
    <t>избегание конфликтов. их решение.</t>
  </si>
  <si>
    <t>все темы актуальны.</t>
  </si>
  <si>
    <t>прохождение обучения в рабочее время, а не в выходные дни</t>
  </si>
  <si>
    <t>большое спасибо</t>
  </si>
  <si>
    <t>Для повышения профессионального уровня</t>
  </si>
  <si>
    <t>психология конфликта</t>
  </si>
  <si>
    <t>Уменьшить в профессиональной деятельности возможность возникновения конфликтов</t>
  </si>
  <si>
    <t>----</t>
  </si>
  <si>
    <t>меры поддержки семей участников СВО</t>
  </si>
  <si>
    <t>Инструменты управления конфликтом</t>
  </si>
  <si>
    <t>Можно без изменений , все прекрасно</t>
  </si>
  <si>
    <t>---</t>
  </si>
  <si>
    <t>-----</t>
  </si>
  <si>
    <t>был вовлечен полностью в процесс</t>
  </si>
  <si>
    <t>Взаимодействие на высоком уровне, на все вопросы были получены исчерпывающие ответы</t>
  </si>
  <si>
    <t>Направило руководство для повышения квалификации</t>
  </si>
  <si>
    <t>Взаимодействие с ветеранами СВО</t>
  </si>
  <si>
    <t>Навыки бесконфликтного общения</t>
  </si>
  <si>
    <t>Все грамотно и доступно изложено.</t>
  </si>
  <si>
    <t>Для повышения профессионализма</t>
  </si>
  <si>
    <t>Конфликтогены</t>
  </si>
  <si>
    <t>Весь комплект</t>
  </si>
  <si>
    <t>Я бы оставил всё.</t>
  </si>
  <si>
    <t>Всё хорошо.</t>
  </si>
  <si>
    <t>Всё было хорошо. Группы комфортные по количеству и составу.</t>
  </si>
  <si>
    <t>Вопросов было множество.</t>
  </si>
  <si>
    <t>Оплата труда при учёбе в выходной день.</t>
  </si>
  <si>
    <t>Грамотные и коммуникабельные преподаватели - Сергей Михайлович и Светлана Анатольевна.
Терпеливый куратор - Софья.</t>
  </si>
  <si>
    <t>По необходимости</t>
  </si>
  <si>
    <t>Вопросы общения с гражданами. В силу специфики моей работы.</t>
  </si>
  <si>
    <t>Навыки общения с гражданами.</t>
  </si>
  <si>
    <t>Все вопросы были актуальны.</t>
  </si>
  <si>
    <t>Все отлично.</t>
  </si>
  <si>
    <t>Все хорошо.</t>
  </si>
  <si>
    <t>Всё устраивает.</t>
  </si>
  <si>
    <t>Всё организованно на высшем уровне.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</si>
</sst>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13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9"/>
      <c r="B2" s="8"/>
      <c r="C2" s="8" t="s">
        <v>33</v>
      </c>
      <c r="D2" s="8" t="s">
        <v>34</v>
      </c>
      <c r="E2" s="10">
        <v>10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10">
        <v>10</v>
      </c>
      <c r="M2" s="8" t="s">
        <v>37</v>
      </c>
      <c r="N2" s="8" t="s">
        <v>38</v>
      </c>
      <c r="O2" s="8" t="s">
        <v>41</v>
      </c>
      <c r="P2" s="10">
        <v>10</v>
      </c>
      <c r="Q2" s="8" t="s">
        <v>37</v>
      </c>
      <c r="R2" s="8" t="s">
        <v>38</v>
      </c>
      <c r="S2" s="8" t="s">
        <v>37</v>
      </c>
      <c r="T2" s="8" t="s">
        <v>38</v>
      </c>
      <c r="U2" s="8" t="s">
        <v>40</v>
      </c>
      <c r="V2" s="8" t="s">
        <v>38</v>
      </c>
      <c r="W2" s="8" t="s">
        <v>42</v>
      </c>
      <c r="X2" s="8" t="s">
        <v>43</v>
      </c>
      <c r="Y2" s="10">
        <v>10</v>
      </c>
      <c r="Z2" s="8" t="s">
        <v>44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65" x14ac:dyDescent="0.25">
      <c r="A3" s="9"/>
      <c r="B3" s="8"/>
      <c r="C3" s="8" t="s">
        <v>33</v>
      </c>
      <c r="D3" s="8" t="s">
        <v>45</v>
      </c>
      <c r="E3" s="10">
        <v>10</v>
      </c>
      <c r="F3" s="8" t="s">
        <v>46</v>
      </c>
      <c r="G3" s="8" t="s">
        <v>47</v>
      </c>
      <c r="H3" s="8" t="s">
        <v>37</v>
      </c>
      <c r="I3" s="8" t="s">
        <v>38</v>
      </c>
      <c r="J3" s="8" t="s">
        <v>48</v>
      </c>
      <c r="K3" s="8" t="s">
        <v>49</v>
      </c>
      <c r="L3" s="10">
        <v>10</v>
      </c>
      <c r="M3" s="8" t="s">
        <v>37</v>
      </c>
      <c r="N3" s="8" t="s">
        <v>38</v>
      </c>
      <c r="O3" s="8" t="s">
        <v>50</v>
      </c>
      <c r="P3" s="10">
        <v>10</v>
      </c>
      <c r="Q3" s="8" t="s">
        <v>37</v>
      </c>
      <c r="R3" s="8" t="s">
        <v>38</v>
      </c>
      <c r="S3" s="8" t="s">
        <v>37</v>
      </c>
      <c r="T3" s="8" t="s">
        <v>38</v>
      </c>
      <c r="U3" s="8" t="s">
        <v>40</v>
      </c>
      <c r="V3" s="8" t="s">
        <v>38</v>
      </c>
      <c r="W3" s="8" t="s">
        <v>51</v>
      </c>
      <c r="X3" s="8" t="s">
        <v>52</v>
      </c>
      <c r="Y3" s="10">
        <v>10</v>
      </c>
      <c r="Z3" s="8" t="s">
        <v>53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9"/>
      <c r="B4" s="8"/>
      <c r="C4" s="8" t="s">
        <v>33</v>
      </c>
      <c r="D4" s="8" t="s">
        <v>54</v>
      </c>
      <c r="E4" s="10">
        <v>8</v>
      </c>
      <c r="F4" s="8" t="s">
        <v>55</v>
      </c>
      <c r="G4" s="8" t="s">
        <v>56</v>
      </c>
      <c r="H4" s="8" t="s">
        <v>37</v>
      </c>
      <c r="I4" s="8" t="s">
        <v>38</v>
      </c>
      <c r="J4" s="8" t="s">
        <v>38</v>
      </c>
      <c r="K4" s="8" t="s">
        <v>38</v>
      </c>
      <c r="L4" s="10">
        <v>10</v>
      </c>
      <c r="M4" s="8" t="s">
        <v>37</v>
      </c>
      <c r="N4" s="8" t="s">
        <v>38</v>
      </c>
      <c r="O4" s="8" t="s">
        <v>38</v>
      </c>
      <c r="P4" s="10">
        <v>10</v>
      </c>
      <c r="Q4" s="8" t="s">
        <v>37</v>
      </c>
      <c r="R4" s="8" t="s">
        <v>38</v>
      </c>
      <c r="S4" s="8" t="s">
        <v>37</v>
      </c>
      <c r="T4" s="8" t="s">
        <v>38</v>
      </c>
      <c r="U4" s="8" t="s">
        <v>40</v>
      </c>
      <c r="V4" s="8" t="s">
        <v>38</v>
      </c>
      <c r="W4" s="8" t="s">
        <v>38</v>
      </c>
      <c r="X4" s="8" t="s">
        <v>52</v>
      </c>
      <c r="Y4" s="10">
        <v>10</v>
      </c>
      <c r="Z4" s="8" t="s">
        <v>57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45" x14ac:dyDescent="0.25">
      <c r="A5" s="9"/>
      <c r="B5" s="8"/>
      <c r="C5" s="8" t="s">
        <v>33</v>
      </c>
      <c r="D5" s="8" t="s">
        <v>58</v>
      </c>
      <c r="E5" s="10">
        <v>10</v>
      </c>
      <c r="F5" s="8" t="s">
        <v>59</v>
      </c>
      <c r="G5" s="8" t="s">
        <v>60</v>
      </c>
      <c r="H5" s="8" t="s">
        <v>37</v>
      </c>
      <c r="I5" s="8" t="s">
        <v>61</v>
      </c>
      <c r="J5" s="8" t="s">
        <v>62</v>
      </c>
      <c r="K5" s="8" t="s">
        <v>63</v>
      </c>
      <c r="L5" s="10">
        <v>10</v>
      </c>
      <c r="M5" s="8" t="s">
        <v>37</v>
      </c>
      <c r="N5" s="8" t="s">
        <v>61</v>
      </c>
      <c r="O5" s="8" t="s">
        <v>63</v>
      </c>
      <c r="P5" s="10">
        <v>10</v>
      </c>
      <c r="Q5" s="8" t="s">
        <v>37</v>
      </c>
      <c r="R5" s="8" t="s">
        <v>64</v>
      </c>
      <c r="S5" s="8" t="s">
        <v>37</v>
      </c>
      <c r="T5" s="8" t="s">
        <v>64</v>
      </c>
      <c r="U5" s="8" t="s">
        <v>40</v>
      </c>
      <c r="V5" s="8" t="s">
        <v>64</v>
      </c>
      <c r="W5" s="8" t="s">
        <v>63</v>
      </c>
      <c r="X5" s="8" t="s">
        <v>43</v>
      </c>
      <c r="Y5" s="10">
        <v>10</v>
      </c>
      <c r="Z5" s="8" t="s">
        <v>65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9"/>
      <c r="B6" s="8"/>
      <c r="C6" s="8" t="s">
        <v>33</v>
      </c>
      <c r="D6" s="8" t="s">
        <v>66</v>
      </c>
      <c r="E6" s="10">
        <v>8</v>
      </c>
      <c r="F6" s="8" t="s">
        <v>67</v>
      </c>
      <c r="G6" s="8" t="s">
        <v>68</v>
      </c>
      <c r="H6" s="8" t="s">
        <v>37</v>
      </c>
      <c r="I6" s="8" t="s">
        <v>69</v>
      </c>
      <c r="J6" s="8" t="s">
        <v>38</v>
      </c>
      <c r="K6" s="8" t="s">
        <v>40</v>
      </c>
      <c r="L6" s="10">
        <v>8</v>
      </c>
      <c r="M6" s="8" t="s">
        <v>40</v>
      </c>
      <c r="N6" s="8" t="s">
        <v>38</v>
      </c>
      <c r="O6" s="8" t="s">
        <v>70</v>
      </c>
      <c r="P6" s="10">
        <v>6</v>
      </c>
      <c r="Q6" s="8" t="s">
        <v>40</v>
      </c>
      <c r="R6" s="8" t="s">
        <v>38</v>
      </c>
      <c r="S6" s="8" t="s">
        <v>40</v>
      </c>
      <c r="T6" s="8" t="s">
        <v>38</v>
      </c>
      <c r="U6" s="8" t="s">
        <v>40</v>
      </c>
      <c r="V6" s="8" t="s">
        <v>38</v>
      </c>
      <c r="W6" s="8" t="s">
        <v>42</v>
      </c>
      <c r="X6" s="8" t="s">
        <v>71</v>
      </c>
      <c r="Y6" s="10">
        <v>10</v>
      </c>
      <c r="Z6" s="8" t="s">
        <v>72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90" x14ac:dyDescent="0.25">
      <c r="A7" s="9"/>
      <c r="B7" s="8"/>
      <c r="C7" s="8" t="s">
        <v>33</v>
      </c>
      <c r="D7" s="8" t="s">
        <v>73</v>
      </c>
      <c r="E7" s="10">
        <v>10</v>
      </c>
      <c r="F7" s="8" t="s">
        <v>74</v>
      </c>
      <c r="G7" s="8" t="s">
        <v>75</v>
      </c>
      <c r="H7" s="8" t="s">
        <v>37</v>
      </c>
      <c r="I7" s="8" t="s">
        <v>38</v>
      </c>
      <c r="J7" s="8" t="s">
        <v>76</v>
      </c>
      <c r="K7" s="8" t="s">
        <v>77</v>
      </c>
      <c r="L7" s="10">
        <v>8</v>
      </c>
      <c r="M7" s="8" t="s">
        <v>37</v>
      </c>
      <c r="N7" s="8" t="s">
        <v>38</v>
      </c>
      <c r="O7" s="8" t="s">
        <v>78</v>
      </c>
      <c r="P7" s="10">
        <v>9</v>
      </c>
      <c r="Q7" s="8" t="s">
        <v>37</v>
      </c>
      <c r="R7" s="8" t="s">
        <v>38</v>
      </c>
      <c r="S7" s="8" t="s">
        <v>37</v>
      </c>
      <c r="T7" s="8" t="s">
        <v>38</v>
      </c>
      <c r="U7" s="8" t="s">
        <v>40</v>
      </c>
      <c r="V7" s="8" t="s">
        <v>38</v>
      </c>
      <c r="W7" s="8" t="s">
        <v>79</v>
      </c>
      <c r="X7" s="8" t="s">
        <v>52</v>
      </c>
      <c r="Y7" s="10">
        <v>10</v>
      </c>
      <c r="Z7" s="8" t="s">
        <v>80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05" x14ac:dyDescent="0.25">
      <c r="A8" s="9"/>
      <c r="B8" s="8"/>
      <c r="C8" s="8" t="s">
        <v>33</v>
      </c>
      <c r="D8" s="8" t="s">
        <v>81</v>
      </c>
      <c r="E8" s="10">
        <v>10</v>
      </c>
      <c r="F8" s="8" t="s">
        <v>82</v>
      </c>
      <c r="G8" s="8" t="s">
        <v>83</v>
      </c>
      <c r="H8" s="8" t="s">
        <v>37</v>
      </c>
      <c r="I8" s="8" t="s">
        <v>64</v>
      </c>
      <c r="J8" s="8" t="s">
        <v>84</v>
      </c>
      <c r="K8" s="8" t="s">
        <v>64</v>
      </c>
      <c r="L8" s="10">
        <v>9</v>
      </c>
      <c r="M8" s="8" t="s">
        <v>37</v>
      </c>
      <c r="N8" s="8" t="s">
        <v>64</v>
      </c>
      <c r="O8" s="8" t="s">
        <v>85</v>
      </c>
      <c r="P8" s="10">
        <v>10</v>
      </c>
      <c r="Q8" s="8" t="s">
        <v>37</v>
      </c>
      <c r="R8" s="8" t="s">
        <v>64</v>
      </c>
      <c r="S8" s="8" t="s">
        <v>37</v>
      </c>
      <c r="T8" s="8" t="s">
        <v>64</v>
      </c>
      <c r="U8" s="8" t="s">
        <v>40</v>
      </c>
      <c r="V8" s="8" t="s">
        <v>64</v>
      </c>
      <c r="W8" s="8" t="s">
        <v>86</v>
      </c>
      <c r="X8" s="8" t="s">
        <v>43</v>
      </c>
      <c r="Y8" s="10">
        <v>10</v>
      </c>
      <c r="Z8" s="8" t="s">
        <v>87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9"/>
      <c r="B9" s="8"/>
      <c r="C9" s="8" t="s">
        <v>33</v>
      </c>
      <c r="D9" s="8" t="s">
        <v>88</v>
      </c>
      <c r="E9" s="10">
        <v>10</v>
      </c>
      <c r="F9" s="8" t="s">
        <v>89</v>
      </c>
      <c r="G9" s="8" t="s">
        <v>90</v>
      </c>
      <c r="H9" s="8" t="s">
        <v>37</v>
      </c>
      <c r="I9" s="8" t="s">
        <v>38</v>
      </c>
      <c r="J9" s="8" t="s">
        <v>91</v>
      </c>
      <c r="K9" s="8" t="s">
        <v>38</v>
      </c>
      <c r="L9" s="10">
        <v>10</v>
      </c>
      <c r="M9" s="8" t="s">
        <v>37</v>
      </c>
      <c r="N9" s="8" t="s">
        <v>38</v>
      </c>
      <c r="O9" s="8" t="s">
        <v>92</v>
      </c>
      <c r="P9" s="10">
        <v>10</v>
      </c>
      <c r="Q9" s="8" t="s">
        <v>37</v>
      </c>
      <c r="R9" s="8" t="s">
        <v>38</v>
      </c>
      <c r="S9" s="8" t="s">
        <v>37</v>
      </c>
      <c r="T9" s="8" t="s">
        <v>38</v>
      </c>
      <c r="U9" s="8" t="s">
        <v>40</v>
      </c>
      <c r="V9" s="8" t="s">
        <v>38</v>
      </c>
      <c r="W9" s="8" t="s">
        <v>38</v>
      </c>
      <c r="X9" s="8" t="s">
        <v>43</v>
      </c>
      <c r="Y9" s="10">
        <v>10</v>
      </c>
      <c r="Z9" s="8" t="s">
        <v>93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75" x14ac:dyDescent="0.25">
      <c r="A10" s="9"/>
      <c r="B10" s="8"/>
      <c r="C10" s="8" t="s">
        <v>33</v>
      </c>
      <c r="D10" s="8" t="s">
        <v>94</v>
      </c>
      <c r="E10" s="10">
        <v>10</v>
      </c>
      <c r="F10" s="8" t="s">
        <v>95</v>
      </c>
      <c r="G10" s="8" t="s">
        <v>96</v>
      </c>
      <c r="H10" s="8" t="s">
        <v>37</v>
      </c>
      <c r="I10" s="8" t="s">
        <v>97</v>
      </c>
      <c r="J10" s="8" t="s">
        <v>98</v>
      </c>
      <c r="K10" s="8" t="s">
        <v>99</v>
      </c>
      <c r="L10" s="10">
        <v>9</v>
      </c>
      <c r="M10" s="8" t="s">
        <v>37</v>
      </c>
      <c r="N10" s="8" t="s">
        <v>97</v>
      </c>
      <c r="O10" s="8" t="s">
        <v>100</v>
      </c>
      <c r="P10" s="10">
        <v>10</v>
      </c>
      <c r="Q10" s="8" t="s">
        <v>37</v>
      </c>
      <c r="R10" s="8" t="s">
        <v>101</v>
      </c>
      <c r="S10" s="8" t="s">
        <v>37</v>
      </c>
      <c r="T10" s="8" t="s">
        <v>97</v>
      </c>
      <c r="U10" s="8" t="s">
        <v>40</v>
      </c>
      <c r="V10" s="8" t="s">
        <v>102</v>
      </c>
      <c r="W10" s="8" t="s">
        <v>103</v>
      </c>
      <c r="X10" s="8" t="s">
        <v>43</v>
      </c>
      <c r="Y10" s="10">
        <v>10</v>
      </c>
      <c r="Z10" s="8" t="s">
        <v>104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9"/>
      <c r="B11" s="8"/>
      <c r="C11" s="8" t="s">
        <v>33</v>
      </c>
      <c r="D11" s="8" t="s">
        <v>105</v>
      </c>
      <c r="E11" s="10">
        <v>10</v>
      </c>
      <c r="F11" s="8" t="s">
        <v>106</v>
      </c>
      <c r="G11" s="8" t="s">
        <v>107</v>
      </c>
      <c r="H11" s="8" t="s">
        <v>37</v>
      </c>
      <c r="I11" s="8" t="s">
        <v>38</v>
      </c>
      <c r="J11" s="8" t="s">
        <v>38</v>
      </c>
      <c r="K11" s="8" t="s">
        <v>38</v>
      </c>
      <c r="L11" s="10">
        <v>10</v>
      </c>
      <c r="M11" s="8" t="s">
        <v>37</v>
      </c>
      <c r="N11" s="8" t="s">
        <v>38</v>
      </c>
      <c r="O11" s="8" t="s">
        <v>38</v>
      </c>
      <c r="P11" s="10">
        <v>10</v>
      </c>
      <c r="Q11" s="8" t="s">
        <v>37</v>
      </c>
      <c r="R11" s="8" t="s">
        <v>38</v>
      </c>
      <c r="S11" s="8" t="s">
        <v>37</v>
      </c>
      <c r="T11" s="8" t="s">
        <v>38</v>
      </c>
      <c r="U11" s="8" t="s">
        <v>40</v>
      </c>
      <c r="V11" s="8" t="s">
        <v>38</v>
      </c>
      <c r="W11" s="8" t="s">
        <v>38</v>
      </c>
      <c r="X11" s="8" t="s">
        <v>43</v>
      </c>
      <c r="Y11" s="10">
        <v>10</v>
      </c>
      <c r="Z11" s="8" t="s">
        <v>108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105" x14ac:dyDescent="0.25">
      <c r="A12" s="9"/>
      <c r="B12" s="8"/>
      <c r="C12" s="8" t="s">
        <v>33</v>
      </c>
      <c r="D12" s="8" t="s">
        <v>109</v>
      </c>
      <c r="E12" s="10">
        <v>10</v>
      </c>
      <c r="F12" s="8" t="s">
        <v>110</v>
      </c>
      <c r="G12" s="8" t="s">
        <v>111</v>
      </c>
      <c r="H12" s="8" t="s">
        <v>37</v>
      </c>
      <c r="I12" s="8" t="s">
        <v>38</v>
      </c>
      <c r="J12" s="8" t="s">
        <v>112</v>
      </c>
      <c r="K12" s="8" t="s">
        <v>113</v>
      </c>
      <c r="L12" s="10">
        <v>10</v>
      </c>
      <c r="M12" s="8" t="s">
        <v>37</v>
      </c>
      <c r="N12" s="8" t="s">
        <v>38</v>
      </c>
      <c r="O12" s="8" t="s">
        <v>114</v>
      </c>
      <c r="P12" s="10">
        <v>10</v>
      </c>
      <c r="Q12" s="8" t="s">
        <v>37</v>
      </c>
      <c r="R12" s="8" t="s">
        <v>38</v>
      </c>
      <c r="S12" s="8" t="s">
        <v>37</v>
      </c>
      <c r="T12" s="8" t="s">
        <v>115</v>
      </c>
      <c r="U12" s="8" t="s">
        <v>40</v>
      </c>
      <c r="V12" s="8" t="s">
        <v>38</v>
      </c>
      <c r="W12" s="8" t="s">
        <v>116</v>
      </c>
      <c r="X12" s="8" t="s">
        <v>43</v>
      </c>
      <c r="Y12" s="10">
        <v>10</v>
      </c>
      <c r="Z12" s="8" t="s">
        <v>117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45" x14ac:dyDescent="0.25">
      <c r="A13" s="9"/>
      <c r="B13" s="8"/>
      <c r="C13" s="8" t="s">
        <v>33</v>
      </c>
      <c r="D13" s="8" t="s">
        <v>118</v>
      </c>
      <c r="E13" s="10">
        <v>10</v>
      </c>
      <c r="F13" s="8" t="s">
        <v>119</v>
      </c>
      <c r="G13" s="8" t="s">
        <v>120</v>
      </c>
      <c r="H13" s="8" t="s">
        <v>37</v>
      </c>
      <c r="I13" s="8" t="s">
        <v>38</v>
      </c>
      <c r="J13" s="8" t="s">
        <v>121</v>
      </c>
      <c r="K13" s="8" t="s">
        <v>122</v>
      </c>
      <c r="L13" s="10">
        <v>10</v>
      </c>
      <c r="M13" s="8" t="s">
        <v>37</v>
      </c>
      <c r="N13" s="8" t="s">
        <v>38</v>
      </c>
      <c r="O13" s="8" t="s">
        <v>123</v>
      </c>
      <c r="P13" s="10">
        <v>10</v>
      </c>
      <c r="Q13" s="8" t="s">
        <v>37</v>
      </c>
      <c r="R13" s="8" t="s">
        <v>38</v>
      </c>
      <c r="S13" s="8" t="s">
        <v>37</v>
      </c>
      <c r="T13" s="8" t="s">
        <v>38</v>
      </c>
      <c r="U13" s="8" t="s">
        <v>40</v>
      </c>
      <c r="V13" s="8" t="s">
        <v>38</v>
      </c>
      <c r="W13" s="8" t="s">
        <v>124</v>
      </c>
      <c r="X13" s="8" t="s">
        <v>43</v>
      </c>
      <c r="Y13" s="10">
        <v>10</v>
      </c>
      <c r="Z13" s="8" t="s">
        <v>125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25">
      <c r="A14" s="1"/>
      <c r="B14" s="1"/>
      <c r="C14" s="1"/>
      <c r="D14" s="1"/>
      <c r="F14" s="1"/>
      <c r="G14" s="1"/>
      <c r="H14" s="1"/>
      <c r="I14" s="1"/>
      <c r="J14" s="1"/>
      <c r="K14" s="1"/>
      <c r="M14" s="1"/>
      <c r="N14" s="1"/>
      <c r="O14" s="1"/>
      <c r="Q14" s="1"/>
      <c r="R14" s="1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F15" s="1"/>
      <c r="G15" s="1"/>
      <c r="H15" s="1"/>
      <c r="I15" s="1"/>
      <c r="J15" s="1"/>
      <c r="K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F16" s="1"/>
      <c r="G16" s="1"/>
      <c r="H16" s="1"/>
      <c r="I16" s="1"/>
      <c r="J16" s="1"/>
      <c r="K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F17" s="1"/>
      <c r="G17" s="1"/>
      <c r="H17" s="1"/>
      <c r="I17" s="1"/>
      <c r="J17" s="1"/>
      <c r="K17" s="1"/>
      <c r="N17" s="1"/>
      <c r="O17" s="1"/>
      <c r="R17" s="1"/>
      <c r="T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F18" s="1"/>
      <c r="G18" s="1"/>
      <c r="H18" s="1"/>
      <c r="I18" s="1"/>
      <c r="J18" s="1"/>
      <c r="K18" s="1"/>
      <c r="N18" s="1"/>
      <c r="O18" s="1"/>
      <c r="R18" s="1"/>
      <c r="T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16" sqref="G16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9.6666666666666661</v>
      </c>
      <c r="C4" s="7">
        <f>AVERAGE('Исходные данные (итог. анкета)'!L:L)</f>
        <v>9.5</v>
      </c>
      <c r="D4" s="7">
        <f>AVERAGE('Исходные данные (итог. анкета)'!P:P)</f>
        <v>9.5833333333333339</v>
      </c>
      <c r="E4" s="6">
        <f>COUNTIF('Исходные данные (итог. анкета)'!U:U,"нет")/COUNTA('Исходные данные (итог. анкета)'!U2:U499)</f>
        <v>1</v>
      </c>
      <c r="F4" s="7">
        <f>AVERAGE('Исходные данные (итог. анкета)'!Y:Y)</f>
        <v>10</v>
      </c>
      <c r="G4" s="7">
        <f>AVERAGE(B4:D4,F4)</f>
        <v>9.6875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2026-07-01T09:29:11Z</dcterms:modified>
</cp:coreProperties>
</file>