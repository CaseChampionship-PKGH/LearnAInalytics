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D4" i="2"/>
  <c r="C4" i="2"/>
  <c r="E4" i="2"/>
  <c r="B4" i="2" l="1"/>
  <c r="G4" i="2" l="1"/>
</calcChain>
</file>

<file path=xl/sharedStrings.xml><?xml version="1.0" encoding="utf-8"?>
<sst xmlns="http://schemas.openxmlformats.org/spreadsheetml/2006/main" count="553" uniqueCount="189">
  <si>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</si>
  <si>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</si>
  <si>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</si>
  <si>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</si>
  <si>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</si>
  <si>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</si>
  <si>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</si>
  <si>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</si>
  <si>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</si>
  <si>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</si>
  <si>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</si>
  <si>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</si>
  <si>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</si>
  <si>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</si>
  <si>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</si>
  <si>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</si>
  <si>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</si>
  <si>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</si>
  <si>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</si>
  <si>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</si>
  <si>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</si>
  <si>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</si>
  <si>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</si>
  <si>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</si>
  <si>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</si>
  <si>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</si>
  <si>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</si>
  <si>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</si>
  <si>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</si>
  <si>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</si>
  <si>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</si>
  <si>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</si>
  <si>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</si>
  <si>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</si>
  <si>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В своей работе я очень много работаю с текстами и очень много пишу. Поэтому для меня этот курс очень важен и полезен. Повышение грамотности.</t>
  </si>
  <si>
    <t>Все могу применять, потому что много пишу.</t>
  </si>
  <si>
    <t>да</t>
  </si>
  <si>
    <t>-</t>
  </si>
  <si>
    <t>Программа великолепна, особенно великолепен преподаватель - Елена Матвеевна. Можно сделать курс чуть длиннее, чтобы не за один учебный день проходить так много тем, а то информации слишком много.</t>
  </si>
  <si>
    <t>Можно сделать курс чуть длиннее, чтобы не за один учебный день проходить так много тем, а то информации слишком много.</t>
  </si>
  <si>
    <t>нет</t>
  </si>
  <si>
    <t>очное обучение в аудиториях Корпоративного университета</t>
  </si>
  <si>
    <t>Огромное спасибо всей команде: и куратору, и преподавателю. Учиться было легко и очень интересно.</t>
  </si>
  <si>
    <t>улучшить свои знания</t>
  </si>
  <si>
    <t>Орфография, пунктуация</t>
  </si>
  <si>
    <t>Вся, полученные информация применима в моей работе. при  составлении документации</t>
  </si>
  <si>
    <t>все темы полезны</t>
  </si>
  <si>
    <t>практические занятия организованы полезно</t>
  </si>
  <si>
    <t>занятия построены понятно. все устроило</t>
  </si>
  <si>
    <t>смешанное обучение: частично очно, частично дистанционно</t>
  </si>
  <si>
    <t>На протяжении всего обучения, специалисты  сопровождали нас информационно, отвечали на все интересующие нас вопросы. Спасибо</t>
  </si>
  <si>
    <t>Для повышения знаний</t>
  </si>
  <si>
    <t>Орфография, пунктуация.</t>
  </si>
  <si>
    <t>Составление делового письма</t>
  </si>
  <si>
    <t>Все полезны</t>
  </si>
  <si>
    <t>всего достаточно</t>
  </si>
  <si>
    <t>Все было понятно, четкое понимание расписания.</t>
  </si>
  <si>
    <t>руководитель</t>
  </si>
  <si>
    <t>Повышение языковой грамотности</t>
  </si>
  <si>
    <t>Вопросы синтаксиса, некоторые морфемы, поскольку редко используются</t>
  </si>
  <si>
    <t>все, полученные знания, пригодятся в дальнейшей деятельности</t>
  </si>
  <si>
    <t>Ничего исключать не нужно</t>
  </si>
  <si>
    <t>Больше практикума в электронном курсе</t>
  </si>
  <si>
    <t>Синтаксис в электронном курсе</t>
  </si>
  <si>
    <t>Ничего. Курс, в части практических занятий с педагогом,  максимально отвечает запросам</t>
  </si>
  <si>
    <t>Прекрасная работа сотрудников и педагогов, обусловленная вовлеченностью в процесс  обучения и желанием достичь максимального эффекта от обучения</t>
  </si>
  <si>
    <t>Получение новых знаний и навыков грамотного письма.</t>
  </si>
  <si>
    <t>Оформление ответов на обращение, пунктуация.</t>
  </si>
  <si>
    <t>Повышение грамотности, получение новых знаний.</t>
  </si>
  <si>
    <t>Все темы были актуальны и полезны.</t>
  </si>
  <si>
    <t>Программа очень насыщена, по возможности увеличить количество очных часов.</t>
  </si>
  <si>
    <t>Все было в достаточном объеме.</t>
  </si>
  <si>
    <t>Вовлеченность в учебный процесс была на каждом уроке.</t>
  </si>
  <si>
    <t>Спасибо сотрудникам и педагогам за организованность и доступность материала.</t>
  </si>
  <si>
    <t>Полезно для работы.</t>
  </si>
  <si>
    <t>Все.</t>
  </si>
  <si>
    <t>Всё отлично.</t>
  </si>
  <si>
    <t>Иногда немного не хватало информированности от куратора.</t>
  </si>
  <si>
    <t>хотелось  восполнить пробелы в языковой грамотности</t>
  </si>
  <si>
    <t>правила написания с "не"; "нн"</t>
  </si>
  <si>
    <t>все изученные правила</t>
  </si>
  <si>
    <t>все полезны</t>
  </si>
  <si>
    <t>самые проблемные правила имеются в курсе</t>
  </si>
  <si>
    <t>ничего</t>
  </si>
  <si>
    <t>курс очень интересный</t>
  </si>
  <si>
    <t>Елена Матвеевна выше всяких похвал! спасибо</t>
  </si>
  <si>
    <t>Изучение русского язык интересно, но со временем что-то забывается, поэтому очень хотелось пройти данный курс.</t>
  </si>
  <si>
    <t>Самыми актуальными вопросами были вопросы, касающиеся постановки знаков препинания.</t>
  </si>
  <si>
    <t>В деятельности смогу применить абсолютно все полученные знания.</t>
  </si>
  <si>
    <t>Не совсем интересны были тесты, связанные с банальной орфографией.</t>
  </si>
  <si>
    <t>Хотелось бы больше времени уделить вопросам пунктуации и большему разбору различных вариантов написания именно деловых писем.</t>
  </si>
  <si>
    <t>Разбор именно деловых писем и базовых ошибок в них.</t>
  </si>
  <si>
    <t>Для повышения самообразования</t>
  </si>
  <si>
    <t>Грамматика и орфография</t>
  </si>
  <si>
    <t>все</t>
  </si>
  <si>
    <t>нет таких тем, все актуальные и интересные</t>
  </si>
  <si>
    <t>Вспомнить правила по русскому языку, для облегчения в работе.</t>
  </si>
  <si>
    <t>деловая переписка.</t>
  </si>
  <si>
    <t>Правильное составление писем.</t>
  </si>
  <si>
    <t>все темы полезны для изучения.</t>
  </si>
  <si>
    <t>Программа достаточно обширная, добавлять вопросы не обязательно.</t>
  </si>
  <si>
    <t>ничего.</t>
  </si>
  <si>
    <t>на протяжении всего обучения взаимодействие было максимально эффективным. В любом вопросе оказывалась помощь.</t>
  </si>
  <si>
    <t>изучить русский язык</t>
  </si>
  <si>
    <t>все вопросы актуальны</t>
  </si>
  <si>
    <t>все знания</t>
  </si>
  <si>
    <t>все взаимодействие было эффективно</t>
  </si>
  <si>
    <t>направила организация</t>
  </si>
  <si>
    <t>орфография, потому что плохо знал</t>
  </si>
  <si>
    <t>по русскому языку</t>
  </si>
  <si>
    <t>всё оставить</t>
  </si>
  <si>
    <t>ничего не добавлять</t>
  </si>
  <si>
    <t>полностью дистанционный формат обучения</t>
  </si>
  <si>
    <t>курс сложный</t>
  </si>
  <si>
    <t>для повторения русского языка, для улучшения использования языка в подготовке ответов на обращения</t>
  </si>
  <si>
    <t>стилистика речи, использование различных оборотов в письме</t>
  </si>
  <si>
    <t>никакие</t>
  </si>
  <si>
    <t>ничего, все устроило</t>
  </si>
  <si>
    <t>Тема интересна и полезна.</t>
  </si>
  <si>
    <t>Все вопросы были полезны.</t>
  </si>
  <si>
    <t>Навык написание деловых писем, пунктуация.</t>
  </si>
  <si>
    <t>Обучение организовано на высоком уровне.</t>
  </si>
  <si>
    <t>улучшить знания</t>
  </si>
  <si>
    <t>все было актуально.</t>
  </si>
  <si>
    <t>грамотное написание.</t>
  </si>
  <si>
    <t>никакой</t>
  </si>
  <si>
    <t>все было более чем достаточно</t>
  </si>
  <si>
    <t>Необходимость повышения квалификации.</t>
  </si>
  <si>
    <t>Все вопросы были актуальны.</t>
  </si>
  <si>
    <t>Составление деловых писем, расстановка знаков пунктуации.</t>
  </si>
  <si>
    <t>Программа очень грамотно составлена, исключения не требуются.</t>
  </si>
  <si>
    <t>Отличный преподаватель!!!!
Благодарю за доставленное удовольствием, с которым проходило обучение.</t>
  </si>
  <si>
    <t>Очень хотелось обновить свои знания по русскому языку и узнать что-то новое</t>
  </si>
  <si>
    <t>Все вопросы были очень актуальны, курс насыщен и охватил основные актуальные вопросы для моей работы.</t>
  </si>
  <si>
    <t>Все, курс очень интересный</t>
  </si>
  <si>
    <t>Ничего, всё очень интересно</t>
  </si>
  <si>
    <t>Всё есть в этом курсе</t>
  </si>
  <si>
    <t>Ничего, практика очень хорошая</t>
  </si>
  <si>
    <t>Преподаватель очень интересно объясняет, и всех вовлекает в процесс</t>
  </si>
  <si>
    <t>Куратор был очень отзывчив, всегда отвечал на вопросы.</t>
  </si>
  <si>
    <t>по направлению работодателя</t>
  </si>
  <si>
    <t>все вопросы, так как со времени окончания школы прошло много лет, и полезно  было освежить знания</t>
  </si>
  <si>
    <t>правописание слов</t>
  </si>
  <si>
    <t>ничего не нужно исключать!</t>
  </si>
  <si>
    <t>терминология официально-делового стиля</t>
  </si>
  <si>
    <t>все хорошо</t>
  </si>
  <si>
    <t>вовлеченность с таким прекрасным преподавателем была постоянной!</t>
  </si>
  <si>
    <t>все организовано прекрасно! Отдельное спасибо Елене Матвеевне!</t>
  </si>
  <si>
    <t>обеспечивающий специалист</t>
  </si>
  <si>
    <t>По работе приходится много писать. Возникает много вопросов по корректности подготовленных  текстов.  Было необходимо улучшить и освежить знания по русскому языку с целью повысить уровень выполняемой работы</t>
  </si>
  <si>
    <t>пунктуация 
стилистика 
орфография</t>
  </si>
  <si>
    <t>нет таких</t>
  </si>
  <si>
    <t>хотелось бы побольше часов для более детальной проработки тем</t>
  </si>
  <si>
    <t>в курсе все соответствует</t>
  </si>
  <si>
    <t>была вовлечена на   100 процентов</t>
  </si>
  <si>
    <t>1. чат слушателей в мессенджере 
2. Постоянное консультирование менеджером.
3. Своевременная информация 
4. Все четко и ясно</t>
  </si>
  <si>
    <t>Мое обучение по выбранной программе даст возможность улучшить свои профессиональные навыки при решении различных задач.</t>
  </si>
  <si>
    <t>закрыл пробел по орфографии и пунктуации</t>
  </si>
  <si>
    <t>про общении с гражданами</t>
  </si>
  <si>
    <t>Все отлично!</t>
  </si>
  <si>
    <t>ничего изменять не надо</t>
  </si>
  <si>
    <t>Все отлично.</t>
  </si>
  <si>
    <t>Повысить свои знания</t>
  </si>
  <si>
    <t>вопросы, связанные с составлением писем</t>
  </si>
  <si>
    <t>орфографические знания, повысился уровень знаний владения русским языком</t>
  </si>
  <si>
    <t>никаких</t>
  </si>
  <si>
    <t>обучение полностью удовлетворяет и вовлекает в процесс</t>
  </si>
  <si>
    <t>всегда на связи, всегда предупреждают и информируют о занятиях, приветливые и доброжелательные</t>
  </si>
  <si>
    <t>советник (помощник)</t>
  </si>
  <si>
    <t>По решению руководителя</t>
  </si>
  <si>
    <t>Все</t>
  </si>
  <si>
    <t>Потренировать знания русского языка</t>
  </si>
  <si>
    <t>Знания русского языка крайне важны в служебно-деловой переписке</t>
  </si>
  <si>
    <t>все, полученные знания и навыки</t>
  </si>
  <si>
    <t>Все темы и вопросы важны и интересны</t>
  </si>
  <si>
    <t>Программа не нуждается в дополнении</t>
  </si>
  <si>
    <t>Все отлично</t>
  </si>
  <si>
    <t>Так как в работе я регулярно отвечаю на письма, я хотела писать без ошибок</t>
  </si>
  <si>
    <t>Думаю, после программы мне будет гораздо легче составлять письма, и они будут написаны правильным русским языком</t>
  </si>
  <si>
    <t>Из электронного курса исключить модуль с видео уроками</t>
  </si>
  <si>
    <t>Предложений нет, но хочется увеличить количество часов по очной части</t>
  </si>
  <si>
    <t>Предложений нет</t>
  </si>
  <si>
    <t>Увеличение очных часов</t>
  </si>
  <si>
    <t>Елена Матвеевна -замечательный преподаватель. Она умеет заинтересовать своим предметом абсолютно всех.
Также всё было хорошо организовано, куратор Юлия всегда была с нами на связи в Макс и готова была ответить на все вопросы</t>
  </si>
  <si>
    <t>Повысить уровень знания по русскому языку</t>
  </si>
  <si>
    <t>три электронных модуля</t>
  </si>
  <si>
    <t>Организация, взаимодействие, доступность.</t>
  </si>
  <si>
    <t>отпрапвили кадры</t>
  </si>
  <si>
    <t>все актуальны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</si>
</sst>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0" xfId="1" applyAlignment="1">
      <alignment wrapText="1"/>
    </xf>
    <xf numFmtId="0" fontId="3" fillId="0" borderId="0" xfId="1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7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5" t="s">
        <v>7</v>
      </c>
      <c r="B1" s="5" t="s">
        <v>8</v>
      </c>
      <c r="C1" s="5" t="s">
        <v>9</v>
      </c>
      <c r="D1" s="5" t="s">
        <v>24</v>
      </c>
      <c r="E1" s="4" t="s">
        <v>20</v>
      </c>
      <c r="F1" s="5" t="s">
        <v>10</v>
      </c>
      <c r="G1" s="5" t="s">
        <v>11</v>
      </c>
      <c r="H1" s="5" t="s">
        <v>26</v>
      </c>
      <c r="I1" s="5" t="s">
        <v>25</v>
      </c>
      <c r="J1" s="5" t="s">
        <v>12</v>
      </c>
      <c r="K1" s="5" t="s">
        <v>13</v>
      </c>
      <c r="L1" s="4" t="s">
        <v>21</v>
      </c>
      <c r="M1" s="5" t="s">
        <v>27</v>
      </c>
      <c r="N1" s="5" t="s">
        <v>28</v>
      </c>
      <c r="O1" s="5" t="s">
        <v>14</v>
      </c>
      <c r="P1" s="4" t="s">
        <v>22</v>
      </c>
      <c r="Q1" s="5" t="s">
        <v>15</v>
      </c>
      <c r="R1" s="5" t="s">
        <v>29</v>
      </c>
      <c r="S1" s="5" t="s">
        <v>16</v>
      </c>
      <c r="T1" s="5" t="s">
        <v>30</v>
      </c>
      <c r="U1" s="5" t="s">
        <v>32</v>
      </c>
      <c r="V1" s="5" t="s">
        <v>31</v>
      </c>
      <c r="W1" s="5" t="s">
        <v>17</v>
      </c>
      <c r="X1" s="5" t="s">
        <v>18</v>
      </c>
      <c r="Y1" s="5" t="s">
        <v>23</v>
      </c>
      <c r="Z1" s="5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173.25" x14ac:dyDescent="0.25">
      <c r="A2" s="8"/>
      <c r="B2" s="8"/>
      <c r="C2" s="8" t="s">
        <v>33</v>
      </c>
      <c r="D2" s="8" t="s">
        <v>34</v>
      </c>
      <c r="E2" s="9">
        <v>10</v>
      </c>
      <c r="F2" s="8" t="s">
        <v>34</v>
      </c>
      <c r="G2" s="8" t="s">
        <v>35</v>
      </c>
      <c r="H2" s="8" t="s">
        <v>36</v>
      </c>
      <c r="I2" s="8" t="s">
        <v>37</v>
      </c>
      <c r="J2" s="8" t="s">
        <v>37</v>
      </c>
      <c r="K2" s="8" t="s">
        <v>38</v>
      </c>
      <c r="L2" s="9">
        <v>10</v>
      </c>
      <c r="M2" s="8" t="s">
        <v>36</v>
      </c>
      <c r="N2" s="8" t="s">
        <v>37</v>
      </c>
      <c r="O2" s="8" t="s">
        <v>39</v>
      </c>
      <c r="P2" s="9">
        <v>10</v>
      </c>
      <c r="Q2" s="8" t="s">
        <v>36</v>
      </c>
      <c r="R2" s="8" t="s">
        <v>37</v>
      </c>
      <c r="S2" s="8" t="s">
        <v>36</v>
      </c>
      <c r="T2" s="8" t="s">
        <v>37</v>
      </c>
      <c r="U2" s="8" t="s">
        <v>40</v>
      </c>
      <c r="V2" s="8" t="s">
        <v>37</v>
      </c>
      <c r="W2" s="8" t="s">
        <v>39</v>
      </c>
      <c r="X2" s="8" t="s">
        <v>41</v>
      </c>
      <c r="Y2" s="9">
        <v>10</v>
      </c>
      <c r="Z2" s="8" t="s">
        <v>42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126" x14ac:dyDescent="0.25">
      <c r="A3" s="8"/>
      <c r="B3" s="8"/>
      <c r="C3" s="8" t="s">
        <v>33</v>
      </c>
      <c r="D3" s="8" t="s">
        <v>43</v>
      </c>
      <c r="E3" s="9">
        <v>10</v>
      </c>
      <c r="F3" s="8" t="s">
        <v>44</v>
      </c>
      <c r="G3" s="8" t="s">
        <v>45</v>
      </c>
      <c r="H3" s="8" t="s">
        <v>36</v>
      </c>
      <c r="I3" s="8" t="s">
        <v>37</v>
      </c>
      <c r="J3" s="8" t="s">
        <v>46</v>
      </c>
      <c r="K3" s="8" t="s">
        <v>37</v>
      </c>
      <c r="L3" s="9">
        <v>10</v>
      </c>
      <c r="M3" s="8" t="s">
        <v>36</v>
      </c>
      <c r="N3" s="8" t="s">
        <v>37</v>
      </c>
      <c r="O3" s="8" t="s">
        <v>47</v>
      </c>
      <c r="P3" s="9">
        <v>10</v>
      </c>
      <c r="Q3" s="8" t="s">
        <v>36</v>
      </c>
      <c r="R3" s="8" t="s">
        <v>37</v>
      </c>
      <c r="S3" s="8" t="s">
        <v>36</v>
      </c>
      <c r="T3" s="8" t="s">
        <v>37</v>
      </c>
      <c r="U3" s="8" t="s">
        <v>40</v>
      </c>
      <c r="V3" s="8" t="s">
        <v>37</v>
      </c>
      <c r="W3" s="8" t="s">
        <v>48</v>
      </c>
      <c r="X3" s="8" t="s">
        <v>49</v>
      </c>
      <c r="Y3" s="9">
        <v>10</v>
      </c>
      <c r="Z3" s="8" t="s">
        <v>50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3" x14ac:dyDescent="0.25">
      <c r="A4" s="8"/>
      <c r="B4" s="8"/>
      <c r="C4" s="8" t="s">
        <v>33</v>
      </c>
      <c r="D4" s="8" t="s">
        <v>51</v>
      </c>
      <c r="E4" s="9">
        <v>10</v>
      </c>
      <c r="F4" s="8" t="s">
        <v>52</v>
      </c>
      <c r="G4" s="8" t="s">
        <v>53</v>
      </c>
      <c r="H4" s="8" t="s">
        <v>36</v>
      </c>
      <c r="I4" s="8" t="s">
        <v>37</v>
      </c>
      <c r="J4" s="8" t="s">
        <v>54</v>
      </c>
      <c r="K4" s="8" t="s">
        <v>55</v>
      </c>
      <c r="L4" s="9">
        <v>10</v>
      </c>
      <c r="M4" s="8" t="s">
        <v>36</v>
      </c>
      <c r="N4" s="8" t="s">
        <v>37</v>
      </c>
      <c r="O4" s="8" t="s">
        <v>37</v>
      </c>
      <c r="P4" s="9">
        <v>10</v>
      </c>
      <c r="Q4" s="8" t="s">
        <v>36</v>
      </c>
      <c r="R4" s="8" t="s">
        <v>37</v>
      </c>
      <c r="S4" s="8" t="s">
        <v>36</v>
      </c>
      <c r="T4" s="8" t="s">
        <v>37</v>
      </c>
      <c r="U4" s="8" t="s">
        <v>40</v>
      </c>
      <c r="V4" s="8" t="s">
        <v>37</v>
      </c>
      <c r="W4" s="8" t="s">
        <v>37</v>
      </c>
      <c r="X4" s="8" t="s">
        <v>49</v>
      </c>
      <c r="Y4" s="9">
        <v>10</v>
      </c>
      <c r="Z4" s="8" t="s">
        <v>56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141.75" x14ac:dyDescent="0.25">
      <c r="A5" s="8"/>
      <c r="B5" s="8"/>
      <c r="C5" s="8" t="s">
        <v>57</v>
      </c>
      <c r="D5" s="8" t="s">
        <v>58</v>
      </c>
      <c r="E5" s="9">
        <v>10</v>
      </c>
      <c r="F5" s="8" t="s">
        <v>59</v>
      </c>
      <c r="G5" s="8" t="s">
        <v>60</v>
      </c>
      <c r="H5" s="8" t="s">
        <v>36</v>
      </c>
      <c r="I5" s="8" t="s">
        <v>37</v>
      </c>
      <c r="J5" s="8" t="s">
        <v>61</v>
      </c>
      <c r="K5" s="8" t="s">
        <v>62</v>
      </c>
      <c r="L5" s="9">
        <v>10</v>
      </c>
      <c r="M5" s="8" t="s">
        <v>40</v>
      </c>
      <c r="N5" s="8" t="s">
        <v>63</v>
      </c>
      <c r="O5" s="8" t="s">
        <v>64</v>
      </c>
      <c r="P5" s="9">
        <v>10</v>
      </c>
      <c r="Q5" s="8" t="s">
        <v>36</v>
      </c>
      <c r="R5" s="8" t="s">
        <v>37</v>
      </c>
      <c r="S5" s="8" t="s">
        <v>36</v>
      </c>
      <c r="T5" s="8" t="s">
        <v>37</v>
      </c>
      <c r="U5" s="8" t="s">
        <v>40</v>
      </c>
      <c r="V5" s="8" t="s">
        <v>37</v>
      </c>
      <c r="W5" s="8" t="s">
        <v>37</v>
      </c>
      <c r="X5" s="8" t="s">
        <v>41</v>
      </c>
      <c r="Y5" s="9">
        <v>10</v>
      </c>
      <c r="Z5" s="8" t="s">
        <v>65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78.75" x14ac:dyDescent="0.25">
      <c r="A6" s="8"/>
      <c r="B6" s="8"/>
      <c r="C6" s="8" t="s">
        <v>33</v>
      </c>
      <c r="D6" s="8" t="s">
        <v>66</v>
      </c>
      <c r="E6" s="9">
        <v>10</v>
      </c>
      <c r="F6" s="8" t="s">
        <v>67</v>
      </c>
      <c r="G6" s="8" t="s">
        <v>68</v>
      </c>
      <c r="H6" s="8" t="s">
        <v>36</v>
      </c>
      <c r="I6" s="8" t="s">
        <v>37</v>
      </c>
      <c r="J6" s="8" t="s">
        <v>69</v>
      </c>
      <c r="K6" s="8" t="s">
        <v>70</v>
      </c>
      <c r="L6" s="9">
        <v>10</v>
      </c>
      <c r="M6" s="8" t="s">
        <v>36</v>
      </c>
      <c r="N6" s="8" t="s">
        <v>37</v>
      </c>
      <c r="O6" s="8" t="s">
        <v>71</v>
      </c>
      <c r="P6" s="9">
        <v>10</v>
      </c>
      <c r="Q6" s="8" t="s">
        <v>36</v>
      </c>
      <c r="R6" s="8" t="s">
        <v>37</v>
      </c>
      <c r="S6" s="8" t="s">
        <v>36</v>
      </c>
      <c r="T6" s="8" t="s">
        <v>37</v>
      </c>
      <c r="U6" s="8" t="s">
        <v>40</v>
      </c>
      <c r="V6" s="8" t="s">
        <v>37</v>
      </c>
      <c r="W6" s="8" t="s">
        <v>72</v>
      </c>
      <c r="X6" s="8" t="s">
        <v>41</v>
      </c>
      <c r="Y6" s="9">
        <v>10</v>
      </c>
      <c r="Z6" s="8" t="s">
        <v>73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3" x14ac:dyDescent="0.25">
      <c r="A7" s="8"/>
      <c r="B7" s="8"/>
      <c r="C7" s="8" t="s">
        <v>33</v>
      </c>
      <c r="D7" s="8" t="s">
        <v>74</v>
      </c>
      <c r="E7" s="9">
        <v>10</v>
      </c>
      <c r="F7" s="8" t="s">
        <v>75</v>
      </c>
      <c r="G7" s="8" t="s">
        <v>75</v>
      </c>
      <c r="H7" s="8" t="s">
        <v>36</v>
      </c>
      <c r="I7" s="8" t="s">
        <v>37</v>
      </c>
      <c r="J7" s="8" t="s">
        <v>37</v>
      </c>
      <c r="K7" s="8" t="s">
        <v>37</v>
      </c>
      <c r="L7" s="9">
        <v>10</v>
      </c>
      <c r="M7" s="8" t="s">
        <v>36</v>
      </c>
      <c r="N7" s="8" t="s">
        <v>37</v>
      </c>
      <c r="O7" s="8" t="s">
        <v>37</v>
      </c>
      <c r="P7" s="9">
        <v>10</v>
      </c>
      <c r="Q7" s="8" t="s">
        <v>36</v>
      </c>
      <c r="R7" s="8" t="s">
        <v>37</v>
      </c>
      <c r="S7" s="8" t="s">
        <v>36</v>
      </c>
      <c r="T7" s="8" t="s">
        <v>37</v>
      </c>
      <c r="U7" s="8" t="s">
        <v>40</v>
      </c>
      <c r="V7" s="8" t="s">
        <v>37</v>
      </c>
      <c r="W7" s="8" t="s">
        <v>76</v>
      </c>
      <c r="X7" s="8" t="s">
        <v>49</v>
      </c>
      <c r="Y7" s="9">
        <v>9</v>
      </c>
      <c r="Z7" s="8" t="s">
        <v>77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63" x14ac:dyDescent="0.25">
      <c r="A8" s="8"/>
      <c r="B8" s="8"/>
      <c r="C8" s="8" t="s">
        <v>33</v>
      </c>
      <c r="D8" s="8" t="s">
        <v>78</v>
      </c>
      <c r="E8" s="9">
        <v>10</v>
      </c>
      <c r="F8" s="8" t="s">
        <v>79</v>
      </c>
      <c r="G8" s="8" t="s">
        <v>80</v>
      </c>
      <c r="H8" s="8" t="s">
        <v>36</v>
      </c>
      <c r="I8" s="8" t="s">
        <v>37</v>
      </c>
      <c r="J8" s="8" t="s">
        <v>81</v>
      </c>
      <c r="K8" s="8" t="s">
        <v>82</v>
      </c>
      <c r="L8" s="9">
        <v>10</v>
      </c>
      <c r="M8" s="8" t="s">
        <v>36</v>
      </c>
      <c r="N8" s="8" t="s">
        <v>37</v>
      </c>
      <c r="O8" s="8" t="s">
        <v>83</v>
      </c>
      <c r="P8" s="9">
        <v>10</v>
      </c>
      <c r="Q8" s="8" t="s">
        <v>36</v>
      </c>
      <c r="R8" s="8" t="s">
        <v>37</v>
      </c>
      <c r="S8" s="8" t="s">
        <v>36</v>
      </c>
      <c r="T8" s="8" t="s">
        <v>37</v>
      </c>
      <c r="U8" s="8" t="s">
        <v>40</v>
      </c>
      <c r="V8" s="8" t="s">
        <v>37</v>
      </c>
      <c r="W8" s="8" t="s">
        <v>84</v>
      </c>
      <c r="X8" s="8" t="s">
        <v>49</v>
      </c>
      <c r="Y8" s="9">
        <v>10</v>
      </c>
      <c r="Z8" s="8" t="s">
        <v>85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110.25" x14ac:dyDescent="0.25">
      <c r="A9" s="8"/>
      <c r="B9" s="8"/>
      <c r="C9" s="8" t="s">
        <v>33</v>
      </c>
      <c r="D9" s="8" t="s">
        <v>86</v>
      </c>
      <c r="E9" s="9">
        <v>10</v>
      </c>
      <c r="F9" s="8" t="s">
        <v>87</v>
      </c>
      <c r="G9" s="8" t="s">
        <v>88</v>
      </c>
      <c r="H9" s="8" t="s">
        <v>36</v>
      </c>
      <c r="I9" s="8" t="s">
        <v>37</v>
      </c>
      <c r="J9" s="8" t="s">
        <v>89</v>
      </c>
      <c r="K9" s="8" t="s">
        <v>90</v>
      </c>
      <c r="L9" s="9">
        <v>10</v>
      </c>
      <c r="M9" s="8" t="s">
        <v>36</v>
      </c>
      <c r="N9" s="8" t="s">
        <v>37</v>
      </c>
      <c r="O9" s="8" t="s">
        <v>37</v>
      </c>
      <c r="P9" s="9">
        <v>10</v>
      </c>
      <c r="Q9" s="8" t="s">
        <v>36</v>
      </c>
      <c r="R9" s="8" t="s">
        <v>37</v>
      </c>
      <c r="S9" s="8" t="s">
        <v>36</v>
      </c>
      <c r="T9" s="8" t="s">
        <v>37</v>
      </c>
      <c r="U9" s="8" t="s">
        <v>40</v>
      </c>
      <c r="V9" s="8" t="s">
        <v>37</v>
      </c>
      <c r="W9" s="8" t="s">
        <v>91</v>
      </c>
      <c r="X9" s="8" t="s">
        <v>49</v>
      </c>
      <c r="Y9" s="9">
        <v>10</v>
      </c>
      <c r="Z9" s="8" t="s">
        <v>37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63" x14ac:dyDescent="0.25">
      <c r="A10" s="8"/>
      <c r="B10" s="8"/>
      <c r="C10" s="8" t="s">
        <v>33</v>
      </c>
      <c r="D10" s="8" t="s">
        <v>92</v>
      </c>
      <c r="E10" s="9">
        <v>10</v>
      </c>
      <c r="F10" s="8" t="s">
        <v>93</v>
      </c>
      <c r="G10" s="8" t="s">
        <v>94</v>
      </c>
      <c r="H10" s="8" t="s">
        <v>36</v>
      </c>
      <c r="I10" s="8" t="s">
        <v>37</v>
      </c>
      <c r="J10" s="8" t="s">
        <v>95</v>
      </c>
      <c r="K10" s="8" t="s">
        <v>37</v>
      </c>
      <c r="L10" s="9">
        <v>10</v>
      </c>
      <c r="M10" s="8" t="s">
        <v>36</v>
      </c>
      <c r="N10" s="8" t="s">
        <v>37</v>
      </c>
      <c r="O10" s="8" t="s">
        <v>37</v>
      </c>
      <c r="P10" s="9">
        <v>10</v>
      </c>
      <c r="Q10" s="8" t="s">
        <v>36</v>
      </c>
      <c r="R10" s="8" t="s">
        <v>37</v>
      </c>
      <c r="S10" s="8" t="s">
        <v>36</v>
      </c>
      <c r="T10" s="8" t="s">
        <v>37</v>
      </c>
      <c r="U10" s="8" t="s">
        <v>40</v>
      </c>
      <c r="V10" s="8" t="s">
        <v>37</v>
      </c>
      <c r="W10" s="8" t="s">
        <v>37</v>
      </c>
      <c r="X10" s="8" t="s">
        <v>41</v>
      </c>
      <c r="Y10" s="9">
        <v>10</v>
      </c>
      <c r="Z10" s="8" t="s">
        <v>37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110.25" x14ac:dyDescent="0.25">
      <c r="A11" s="8"/>
      <c r="B11" s="8"/>
      <c r="C11" s="8" t="s">
        <v>33</v>
      </c>
      <c r="D11" s="8" t="s">
        <v>96</v>
      </c>
      <c r="E11" s="9">
        <v>10</v>
      </c>
      <c r="F11" s="8" t="s">
        <v>97</v>
      </c>
      <c r="G11" s="8" t="s">
        <v>98</v>
      </c>
      <c r="H11" s="8" t="s">
        <v>36</v>
      </c>
      <c r="I11" s="8" t="s">
        <v>37</v>
      </c>
      <c r="J11" s="8" t="s">
        <v>99</v>
      </c>
      <c r="K11" s="8" t="s">
        <v>100</v>
      </c>
      <c r="L11" s="9">
        <v>10</v>
      </c>
      <c r="M11" s="8" t="s">
        <v>36</v>
      </c>
      <c r="N11" s="8" t="s">
        <v>37</v>
      </c>
      <c r="O11" s="8" t="s">
        <v>101</v>
      </c>
      <c r="P11" s="9">
        <v>10</v>
      </c>
      <c r="Q11" s="8" t="s">
        <v>36</v>
      </c>
      <c r="R11" s="8" t="s">
        <v>37</v>
      </c>
      <c r="S11" s="8" t="s">
        <v>36</v>
      </c>
      <c r="T11" s="8" t="s">
        <v>37</v>
      </c>
      <c r="U11" s="8" t="s">
        <v>40</v>
      </c>
      <c r="V11" s="8" t="s">
        <v>37</v>
      </c>
      <c r="W11" s="8" t="s">
        <v>37</v>
      </c>
      <c r="X11" s="8" t="s">
        <v>49</v>
      </c>
      <c r="Y11" s="9">
        <v>10</v>
      </c>
      <c r="Z11" s="8" t="s">
        <v>102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63" x14ac:dyDescent="0.25">
      <c r="A12" s="8"/>
      <c r="B12" s="8"/>
      <c r="C12" s="8" t="s">
        <v>33</v>
      </c>
      <c r="D12" s="8" t="s">
        <v>103</v>
      </c>
      <c r="E12" s="9">
        <v>10</v>
      </c>
      <c r="F12" s="8" t="s">
        <v>104</v>
      </c>
      <c r="G12" s="8" t="s">
        <v>105</v>
      </c>
      <c r="H12" s="8" t="s">
        <v>36</v>
      </c>
      <c r="I12" s="8" t="s">
        <v>37</v>
      </c>
      <c r="J12" s="8" t="s">
        <v>37</v>
      </c>
      <c r="K12" s="8" t="s">
        <v>55</v>
      </c>
      <c r="L12" s="9">
        <v>10</v>
      </c>
      <c r="M12" s="8" t="s">
        <v>36</v>
      </c>
      <c r="N12" s="8" t="s">
        <v>37</v>
      </c>
      <c r="O12" s="8" t="s">
        <v>83</v>
      </c>
      <c r="P12" s="9">
        <v>10</v>
      </c>
      <c r="Q12" s="8" t="s">
        <v>36</v>
      </c>
      <c r="R12" s="8" t="s">
        <v>37</v>
      </c>
      <c r="S12" s="8" t="s">
        <v>36</v>
      </c>
      <c r="T12" s="8" t="s">
        <v>37</v>
      </c>
      <c r="U12" s="8" t="s">
        <v>40</v>
      </c>
      <c r="V12" s="8" t="s">
        <v>37</v>
      </c>
      <c r="W12" s="8" t="s">
        <v>83</v>
      </c>
      <c r="X12" s="8" t="s">
        <v>49</v>
      </c>
      <c r="Y12" s="9">
        <v>10</v>
      </c>
      <c r="Z12" s="8" t="s">
        <v>106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47.25" x14ac:dyDescent="0.25">
      <c r="A13" s="8"/>
      <c r="B13" s="8"/>
      <c r="C13" s="8" t="s">
        <v>33</v>
      </c>
      <c r="D13" s="8" t="s">
        <v>107</v>
      </c>
      <c r="E13" s="9">
        <v>10</v>
      </c>
      <c r="F13" s="8" t="s">
        <v>108</v>
      </c>
      <c r="G13" s="8" t="s">
        <v>109</v>
      </c>
      <c r="H13" s="8" t="s">
        <v>36</v>
      </c>
      <c r="I13" s="8" t="s">
        <v>37</v>
      </c>
      <c r="J13" s="8" t="s">
        <v>110</v>
      </c>
      <c r="K13" s="8" t="s">
        <v>111</v>
      </c>
      <c r="L13" s="9">
        <v>10</v>
      </c>
      <c r="M13" s="8" t="s">
        <v>36</v>
      </c>
      <c r="N13" s="8" t="s">
        <v>37</v>
      </c>
      <c r="O13" s="8" t="s">
        <v>83</v>
      </c>
      <c r="P13" s="9">
        <v>10</v>
      </c>
      <c r="Q13" s="8" t="s">
        <v>36</v>
      </c>
      <c r="R13" s="8" t="s">
        <v>37</v>
      </c>
      <c r="S13" s="8" t="s">
        <v>36</v>
      </c>
      <c r="T13" s="8" t="s">
        <v>37</v>
      </c>
      <c r="U13" s="8" t="s">
        <v>40</v>
      </c>
      <c r="V13" s="8" t="s">
        <v>37</v>
      </c>
      <c r="W13" s="8" t="s">
        <v>83</v>
      </c>
      <c r="X13" s="8" t="s">
        <v>112</v>
      </c>
      <c r="Y13" s="9">
        <v>10</v>
      </c>
      <c r="Z13" s="8" t="s">
        <v>113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110.25" x14ac:dyDescent="0.25">
      <c r="A14" s="8"/>
      <c r="B14" s="8"/>
      <c r="C14" s="8" t="s">
        <v>33</v>
      </c>
      <c r="D14" s="8" t="s">
        <v>114</v>
      </c>
      <c r="E14" s="9">
        <v>10</v>
      </c>
      <c r="F14" s="8" t="s">
        <v>115</v>
      </c>
      <c r="G14" s="8" t="s">
        <v>94</v>
      </c>
      <c r="H14" s="8" t="s">
        <v>36</v>
      </c>
      <c r="I14" s="8" t="s">
        <v>37</v>
      </c>
      <c r="J14" s="8" t="s">
        <v>116</v>
      </c>
      <c r="K14" s="8" t="s">
        <v>37</v>
      </c>
      <c r="L14" s="9">
        <v>10</v>
      </c>
      <c r="M14" s="8" t="s">
        <v>36</v>
      </c>
      <c r="N14" s="8" t="s">
        <v>37</v>
      </c>
      <c r="O14" s="8" t="s">
        <v>117</v>
      </c>
      <c r="P14" s="9">
        <v>10</v>
      </c>
      <c r="Q14" s="8" t="s">
        <v>36</v>
      </c>
      <c r="R14" s="8" t="s">
        <v>37</v>
      </c>
      <c r="S14" s="8" t="s">
        <v>36</v>
      </c>
      <c r="T14" s="8" t="s">
        <v>37</v>
      </c>
      <c r="U14" s="8" t="s">
        <v>40</v>
      </c>
      <c r="V14" s="8" t="s">
        <v>37</v>
      </c>
      <c r="W14" s="8" t="s">
        <v>37</v>
      </c>
      <c r="X14" s="8" t="s">
        <v>49</v>
      </c>
      <c r="Y14" s="9">
        <v>10</v>
      </c>
      <c r="Z14" s="8" t="s">
        <v>37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3" x14ac:dyDescent="0.25">
      <c r="A15" s="8"/>
      <c r="B15" s="8"/>
      <c r="C15" s="8" t="s">
        <v>33</v>
      </c>
      <c r="D15" s="8" t="s">
        <v>118</v>
      </c>
      <c r="E15" s="9">
        <v>10</v>
      </c>
      <c r="F15" s="8" t="s">
        <v>119</v>
      </c>
      <c r="G15" s="8" t="s">
        <v>120</v>
      </c>
      <c r="H15" s="8" t="s">
        <v>36</v>
      </c>
      <c r="I15" s="8" t="s">
        <v>37</v>
      </c>
      <c r="J15" s="8" t="s">
        <v>37</v>
      </c>
      <c r="K15" s="8" t="s">
        <v>37</v>
      </c>
      <c r="L15" s="9">
        <v>10</v>
      </c>
      <c r="M15" s="8" t="s">
        <v>36</v>
      </c>
      <c r="N15" s="8" t="s">
        <v>37</v>
      </c>
      <c r="O15" s="8" t="s">
        <v>37</v>
      </c>
      <c r="P15" s="9">
        <v>10</v>
      </c>
      <c r="Q15" s="8" t="s">
        <v>36</v>
      </c>
      <c r="R15" s="8" t="s">
        <v>37</v>
      </c>
      <c r="S15" s="8" t="s">
        <v>36</v>
      </c>
      <c r="T15" s="8" t="s">
        <v>37</v>
      </c>
      <c r="U15" s="8" t="s">
        <v>40</v>
      </c>
      <c r="V15" s="8" t="s">
        <v>37</v>
      </c>
      <c r="W15" s="8" t="s">
        <v>37</v>
      </c>
      <c r="X15" s="8" t="s">
        <v>49</v>
      </c>
      <c r="Y15" s="9">
        <v>10</v>
      </c>
      <c r="Z15" s="8" t="s">
        <v>121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3" x14ac:dyDescent="0.25">
      <c r="A16" s="8"/>
      <c r="B16" s="8"/>
      <c r="C16" s="8" t="s">
        <v>33</v>
      </c>
      <c r="D16" s="8" t="s">
        <v>122</v>
      </c>
      <c r="E16" s="9">
        <v>10</v>
      </c>
      <c r="F16" s="8" t="s">
        <v>123</v>
      </c>
      <c r="G16" s="8" t="s">
        <v>124</v>
      </c>
      <c r="H16" s="8" t="s">
        <v>36</v>
      </c>
      <c r="I16" s="8" t="s">
        <v>37</v>
      </c>
      <c r="J16" s="8" t="s">
        <v>125</v>
      </c>
      <c r="K16" s="8" t="s">
        <v>126</v>
      </c>
      <c r="L16" s="9">
        <v>10</v>
      </c>
      <c r="M16" s="8" t="s">
        <v>36</v>
      </c>
      <c r="N16" s="8" t="s">
        <v>37</v>
      </c>
      <c r="O16" s="8" t="s">
        <v>37</v>
      </c>
      <c r="P16" s="9">
        <v>10</v>
      </c>
      <c r="Q16" s="8" t="s">
        <v>36</v>
      </c>
      <c r="R16" s="8" t="s">
        <v>37</v>
      </c>
      <c r="S16" s="8" t="s">
        <v>36</v>
      </c>
      <c r="T16" s="8" t="s">
        <v>37</v>
      </c>
      <c r="U16" s="8" t="s">
        <v>40</v>
      </c>
      <c r="V16" s="8" t="s">
        <v>37</v>
      </c>
      <c r="W16" s="8" t="s">
        <v>37</v>
      </c>
      <c r="X16" s="8" t="s">
        <v>49</v>
      </c>
      <c r="Y16" s="9">
        <v>10</v>
      </c>
      <c r="Z16" s="8" t="s">
        <v>37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110.25" x14ac:dyDescent="0.25">
      <c r="A17" s="8"/>
      <c r="B17" s="8"/>
      <c r="C17" s="8" t="s">
        <v>33</v>
      </c>
      <c r="D17" s="8" t="s">
        <v>127</v>
      </c>
      <c r="E17" s="9">
        <v>10</v>
      </c>
      <c r="F17" s="8" t="s">
        <v>128</v>
      </c>
      <c r="G17" s="8" t="s">
        <v>129</v>
      </c>
      <c r="H17" s="8" t="s">
        <v>36</v>
      </c>
      <c r="I17" s="8" t="s">
        <v>37</v>
      </c>
      <c r="J17" s="8" t="s">
        <v>130</v>
      </c>
      <c r="K17" s="8" t="s">
        <v>37</v>
      </c>
      <c r="L17" s="9">
        <v>10</v>
      </c>
      <c r="M17" s="8" t="s">
        <v>36</v>
      </c>
      <c r="N17" s="8" t="s">
        <v>37</v>
      </c>
      <c r="O17" s="8" t="s">
        <v>37</v>
      </c>
      <c r="P17" s="9">
        <v>10</v>
      </c>
      <c r="Q17" s="8" t="s">
        <v>36</v>
      </c>
      <c r="R17" s="8" t="s">
        <v>37</v>
      </c>
      <c r="S17" s="8" t="s">
        <v>36</v>
      </c>
      <c r="T17" s="8" t="s">
        <v>37</v>
      </c>
      <c r="U17" s="8" t="s">
        <v>40</v>
      </c>
      <c r="V17" s="8" t="s">
        <v>37</v>
      </c>
      <c r="W17" s="8" t="s">
        <v>37</v>
      </c>
      <c r="X17" s="8" t="s">
        <v>41</v>
      </c>
      <c r="Y17" s="9">
        <v>10</v>
      </c>
      <c r="Z17" s="8" t="s">
        <v>131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78.75" x14ac:dyDescent="0.25">
      <c r="A18" s="8"/>
      <c r="B18" s="8"/>
      <c r="C18" s="8" t="s">
        <v>33</v>
      </c>
      <c r="D18" s="8" t="s">
        <v>132</v>
      </c>
      <c r="E18" s="9">
        <v>10</v>
      </c>
      <c r="F18" s="8" t="s">
        <v>133</v>
      </c>
      <c r="G18" s="8" t="s">
        <v>134</v>
      </c>
      <c r="H18" s="8" t="s">
        <v>36</v>
      </c>
      <c r="I18" s="8" t="s">
        <v>37</v>
      </c>
      <c r="J18" s="8" t="s">
        <v>135</v>
      </c>
      <c r="K18" s="8" t="s">
        <v>136</v>
      </c>
      <c r="L18" s="9">
        <v>10</v>
      </c>
      <c r="M18" s="8" t="s">
        <v>36</v>
      </c>
      <c r="N18" s="8" t="s">
        <v>37</v>
      </c>
      <c r="O18" s="8" t="s">
        <v>137</v>
      </c>
      <c r="P18" s="9">
        <v>10</v>
      </c>
      <c r="Q18" s="8" t="s">
        <v>36</v>
      </c>
      <c r="R18" s="8" t="s">
        <v>37</v>
      </c>
      <c r="S18" s="8" t="s">
        <v>36</v>
      </c>
      <c r="T18" s="8" t="s">
        <v>37</v>
      </c>
      <c r="U18" s="8" t="s">
        <v>40</v>
      </c>
      <c r="V18" s="8" t="s">
        <v>37</v>
      </c>
      <c r="W18" s="8" t="s">
        <v>138</v>
      </c>
      <c r="X18" s="8" t="s">
        <v>41</v>
      </c>
      <c r="Y18" s="9">
        <v>10</v>
      </c>
      <c r="Z18" s="8" t="s">
        <v>139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78.75" x14ac:dyDescent="0.25">
      <c r="A19" s="8"/>
      <c r="B19" s="8"/>
      <c r="C19" s="8" t="s">
        <v>33</v>
      </c>
      <c r="D19" s="8" t="s">
        <v>140</v>
      </c>
      <c r="E19" s="9">
        <v>10</v>
      </c>
      <c r="F19" s="8" t="s">
        <v>141</v>
      </c>
      <c r="G19" s="8" t="s">
        <v>142</v>
      </c>
      <c r="H19" s="8" t="s">
        <v>36</v>
      </c>
      <c r="I19" s="8" t="s">
        <v>37</v>
      </c>
      <c r="J19" s="8" t="s">
        <v>143</v>
      </c>
      <c r="K19" s="8" t="s">
        <v>144</v>
      </c>
      <c r="L19" s="9">
        <v>10</v>
      </c>
      <c r="M19" s="8" t="s">
        <v>36</v>
      </c>
      <c r="N19" s="8" t="s">
        <v>37</v>
      </c>
      <c r="O19" s="8" t="s">
        <v>145</v>
      </c>
      <c r="P19" s="9">
        <v>10</v>
      </c>
      <c r="Q19" s="8" t="s">
        <v>36</v>
      </c>
      <c r="R19" s="8" t="s">
        <v>37</v>
      </c>
      <c r="S19" s="8" t="s">
        <v>36</v>
      </c>
      <c r="T19" s="8" t="s">
        <v>37</v>
      </c>
      <c r="U19" s="8" t="s">
        <v>40</v>
      </c>
      <c r="V19" s="8" t="s">
        <v>37</v>
      </c>
      <c r="W19" s="8" t="s">
        <v>146</v>
      </c>
      <c r="X19" s="8" t="s">
        <v>49</v>
      </c>
      <c r="Y19" s="9">
        <v>10</v>
      </c>
      <c r="Z19" s="8" t="s">
        <v>147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236.25" x14ac:dyDescent="0.25">
      <c r="A20" s="8"/>
      <c r="B20" s="8"/>
      <c r="C20" s="8" t="s">
        <v>148</v>
      </c>
      <c r="D20" s="8" t="s">
        <v>149</v>
      </c>
      <c r="E20" s="9">
        <v>10</v>
      </c>
      <c r="F20" s="8" t="s">
        <v>150</v>
      </c>
      <c r="G20" s="8" t="s">
        <v>94</v>
      </c>
      <c r="H20" s="8" t="s">
        <v>36</v>
      </c>
      <c r="I20" s="8" t="s">
        <v>37</v>
      </c>
      <c r="J20" s="8" t="s">
        <v>151</v>
      </c>
      <c r="K20" s="8" t="s">
        <v>152</v>
      </c>
      <c r="L20" s="9">
        <v>10</v>
      </c>
      <c r="M20" s="8" t="s">
        <v>36</v>
      </c>
      <c r="N20" s="8" t="s">
        <v>37</v>
      </c>
      <c r="O20" s="8" t="s">
        <v>153</v>
      </c>
      <c r="P20" s="9">
        <v>10</v>
      </c>
      <c r="Q20" s="8" t="s">
        <v>36</v>
      </c>
      <c r="R20" s="8" t="s">
        <v>37</v>
      </c>
      <c r="S20" s="8" t="s">
        <v>36</v>
      </c>
      <c r="T20" s="8" t="s">
        <v>37</v>
      </c>
      <c r="U20" s="8" t="s">
        <v>40</v>
      </c>
      <c r="V20" s="8" t="s">
        <v>37</v>
      </c>
      <c r="W20" s="8" t="s">
        <v>154</v>
      </c>
      <c r="X20" s="8" t="s">
        <v>41</v>
      </c>
      <c r="Y20" s="9">
        <v>10</v>
      </c>
      <c r="Z20" s="8" t="s">
        <v>155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41.75" x14ac:dyDescent="0.25">
      <c r="A21" s="8"/>
      <c r="B21" s="8"/>
      <c r="C21" s="8" t="s">
        <v>33</v>
      </c>
      <c r="D21" s="8" t="s">
        <v>156</v>
      </c>
      <c r="E21" s="9">
        <v>10</v>
      </c>
      <c r="F21" s="8" t="s">
        <v>157</v>
      </c>
      <c r="G21" s="8" t="s">
        <v>158</v>
      </c>
      <c r="H21" s="8" t="s">
        <v>36</v>
      </c>
      <c r="I21" s="8" t="s">
        <v>37</v>
      </c>
      <c r="J21" s="8" t="s">
        <v>46</v>
      </c>
      <c r="K21" s="8" t="s">
        <v>159</v>
      </c>
      <c r="L21" s="9">
        <v>10</v>
      </c>
      <c r="M21" s="8" t="s">
        <v>36</v>
      </c>
      <c r="N21" s="8" t="s">
        <v>37</v>
      </c>
      <c r="O21" s="8" t="s">
        <v>160</v>
      </c>
      <c r="P21" s="9">
        <v>10</v>
      </c>
      <c r="Q21" s="8" t="s">
        <v>36</v>
      </c>
      <c r="R21" s="8" t="s">
        <v>37</v>
      </c>
      <c r="S21" s="8" t="s">
        <v>36</v>
      </c>
      <c r="T21" s="8" t="s">
        <v>37</v>
      </c>
      <c r="U21" s="8" t="s">
        <v>40</v>
      </c>
      <c r="V21" s="8" t="s">
        <v>37</v>
      </c>
      <c r="W21" s="8" t="s">
        <v>159</v>
      </c>
      <c r="X21" s="8" t="s">
        <v>41</v>
      </c>
      <c r="Y21" s="9">
        <v>10</v>
      </c>
      <c r="Z21" s="8" t="s">
        <v>161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110.25" x14ac:dyDescent="0.25">
      <c r="A22" s="8"/>
      <c r="B22" s="8"/>
      <c r="C22" s="8" t="s">
        <v>148</v>
      </c>
      <c r="D22" s="8" t="s">
        <v>162</v>
      </c>
      <c r="E22" s="9">
        <v>10</v>
      </c>
      <c r="F22" s="8" t="s">
        <v>163</v>
      </c>
      <c r="G22" s="8" t="s">
        <v>164</v>
      </c>
      <c r="H22" s="8" t="s">
        <v>36</v>
      </c>
      <c r="I22" s="8" t="s">
        <v>37</v>
      </c>
      <c r="J22" s="8" t="s">
        <v>165</v>
      </c>
      <c r="K22" s="8" t="s">
        <v>55</v>
      </c>
      <c r="L22" s="9">
        <v>10</v>
      </c>
      <c r="M22" s="8" t="s">
        <v>36</v>
      </c>
      <c r="N22" s="8" t="s">
        <v>37</v>
      </c>
      <c r="O22" s="8" t="s">
        <v>37</v>
      </c>
      <c r="P22" s="9">
        <v>10</v>
      </c>
      <c r="Q22" s="8" t="s">
        <v>36</v>
      </c>
      <c r="R22" s="8" t="s">
        <v>37</v>
      </c>
      <c r="S22" s="8" t="s">
        <v>36</v>
      </c>
      <c r="T22" s="8" t="s">
        <v>37</v>
      </c>
      <c r="U22" s="8" t="s">
        <v>40</v>
      </c>
      <c r="V22" s="8" t="s">
        <v>37</v>
      </c>
      <c r="W22" s="8" t="s">
        <v>166</v>
      </c>
      <c r="X22" s="8" t="s">
        <v>49</v>
      </c>
      <c r="Y22" s="9">
        <v>10</v>
      </c>
      <c r="Z22" s="8" t="s">
        <v>167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3" x14ac:dyDescent="0.25">
      <c r="A23" s="8"/>
      <c r="B23" s="8"/>
      <c r="C23" s="8" t="s">
        <v>168</v>
      </c>
      <c r="D23" s="8" t="s">
        <v>169</v>
      </c>
      <c r="E23" s="9">
        <v>8</v>
      </c>
      <c r="F23" s="8" t="s">
        <v>170</v>
      </c>
      <c r="G23" s="8" t="s">
        <v>170</v>
      </c>
      <c r="H23" s="8" t="s">
        <v>36</v>
      </c>
      <c r="I23" s="8" t="s">
        <v>37</v>
      </c>
      <c r="J23" s="8" t="s">
        <v>37</v>
      </c>
      <c r="K23" s="8" t="s">
        <v>37</v>
      </c>
      <c r="L23" s="9">
        <v>8</v>
      </c>
      <c r="M23" s="8" t="s">
        <v>36</v>
      </c>
      <c r="N23" s="8" t="s">
        <v>37</v>
      </c>
      <c r="O23" s="8" t="s">
        <v>37</v>
      </c>
      <c r="P23" s="9">
        <v>9</v>
      </c>
      <c r="Q23" s="8" t="s">
        <v>36</v>
      </c>
      <c r="R23" s="8" t="s">
        <v>37</v>
      </c>
      <c r="S23" s="8" t="s">
        <v>36</v>
      </c>
      <c r="T23" s="8" t="s">
        <v>37</v>
      </c>
      <c r="U23" s="8" t="s">
        <v>40</v>
      </c>
      <c r="V23" s="8" t="s">
        <v>37</v>
      </c>
      <c r="W23" s="8" t="s">
        <v>37</v>
      </c>
      <c r="X23" s="8" t="s">
        <v>49</v>
      </c>
      <c r="Y23" s="9">
        <v>8</v>
      </c>
      <c r="Z23" s="8" t="s">
        <v>37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3" x14ac:dyDescent="0.25">
      <c r="A24" s="8"/>
      <c r="B24" s="8"/>
      <c r="C24" s="8" t="s">
        <v>57</v>
      </c>
      <c r="D24" s="8" t="s">
        <v>171</v>
      </c>
      <c r="E24" s="9">
        <v>10</v>
      </c>
      <c r="F24" s="8" t="s">
        <v>172</v>
      </c>
      <c r="G24" s="8" t="s">
        <v>173</v>
      </c>
      <c r="H24" s="8" t="s">
        <v>36</v>
      </c>
      <c r="I24" s="8" t="s">
        <v>37</v>
      </c>
      <c r="J24" s="8" t="s">
        <v>174</v>
      </c>
      <c r="K24" s="8" t="s">
        <v>175</v>
      </c>
      <c r="L24" s="9">
        <v>10</v>
      </c>
      <c r="M24" s="8" t="s">
        <v>36</v>
      </c>
      <c r="N24" s="8" t="s">
        <v>37</v>
      </c>
      <c r="O24" s="8" t="s">
        <v>176</v>
      </c>
      <c r="P24" s="9">
        <v>10</v>
      </c>
      <c r="Q24" s="8" t="s">
        <v>36</v>
      </c>
      <c r="R24" s="8" t="s">
        <v>37</v>
      </c>
      <c r="S24" s="8" t="s">
        <v>36</v>
      </c>
      <c r="T24" s="8" t="s">
        <v>37</v>
      </c>
      <c r="U24" s="8" t="s">
        <v>40</v>
      </c>
      <c r="V24" s="8" t="s">
        <v>37</v>
      </c>
      <c r="W24" s="8" t="s">
        <v>37</v>
      </c>
      <c r="X24" s="8" t="s">
        <v>49</v>
      </c>
      <c r="Y24" s="9">
        <v>10</v>
      </c>
      <c r="Z24" s="8" t="s">
        <v>37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204.75" x14ac:dyDescent="0.25">
      <c r="A25" s="8"/>
      <c r="B25" s="8"/>
      <c r="C25" s="8" t="s">
        <v>33</v>
      </c>
      <c r="D25" s="8" t="s">
        <v>177</v>
      </c>
      <c r="E25" s="9">
        <v>10</v>
      </c>
      <c r="F25" s="8" t="s">
        <v>44</v>
      </c>
      <c r="G25" s="8" t="s">
        <v>178</v>
      </c>
      <c r="H25" s="8" t="s">
        <v>36</v>
      </c>
      <c r="I25" s="8" t="s">
        <v>37</v>
      </c>
      <c r="J25" s="8" t="s">
        <v>179</v>
      </c>
      <c r="K25" s="8" t="s">
        <v>180</v>
      </c>
      <c r="L25" s="9">
        <v>10</v>
      </c>
      <c r="M25" s="8" t="s">
        <v>36</v>
      </c>
      <c r="N25" s="8" t="s">
        <v>37</v>
      </c>
      <c r="O25" s="8" t="s">
        <v>181</v>
      </c>
      <c r="P25" s="9">
        <v>10</v>
      </c>
      <c r="Q25" s="8" t="s">
        <v>36</v>
      </c>
      <c r="R25" s="8" t="s">
        <v>37</v>
      </c>
      <c r="S25" s="8" t="s">
        <v>36</v>
      </c>
      <c r="T25" s="8" t="s">
        <v>37</v>
      </c>
      <c r="U25" s="8" t="s">
        <v>40</v>
      </c>
      <c r="V25" s="8" t="s">
        <v>37</v>
      </c>
      <c r="W25" s="8" t="s">
        <v>182</v>
      </c>
      <c r="X25" s="8" t="s">
        <v>41</v>
      </c>
      <c r="Y25" s="9">
        <v>10</v>
      </c>
      <c r="Z25" s="8" t="s">
        <v>183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63" x14ac:dyDescent="0.25">
      <c r="A26" s="8"/>
      <c r="B26" s="8"/>
      <c r="C26" s="8" t="s">
        <v>33</v>
      </c>
      <c r="D26" s="8" t="s">
        <v>184</v>
      </c>
      <c r="E26" s="9">
        <v>10</v>
      </c>
      <c r="F26" s="8" t="s">
        <v>94</v>
      </c>
      <c r="G26" s="8" t="s">
        <v>94</v>
      </c>
      <c r="H26" s="8" t="s">
        <v>36</v>
      </c>
      <c r="I26" s="8" t="s">
        <v>37</v>
      </c>
      <c r="J26" s="8" t="s">
        <v>185</v>
      </c>
      <c r="K26" s="8" t="s">
        <v>37</v>
      </c>
      <c r="L26" s="9">
        <v>10</v>
      </c>
      <c r="M26" s="8" t="s">
        <v>36</v>
      </c>
      <c r="N26" s="8" t="s">
        <v>37</v>
      </c>
      <c r="O26" s="8" t="s">
        <v>37</v>
      </c>
      <c r="P26" s="9">
        <v>10</v>
      </c>
      <c r="Q26" s="8" t="s">
        <v>36</v>
      </c>
      <c r="R26" s="8" t="s">
        <v>37</v>
      </c>
      <c r="S26" s="8" t="s">
        <v>36</v>
      </c>
      <c r="T26" s="8" t="s">
        <v>37</v>
      </c>
      <c r="U26" s="8" t="s">
        <v>40</v>
      </c>
      <c r="V26" s="8" t="s">
        <v>37</v>
      </c>
      <c r="W26" s="8" t="s">
        <v>37</v>
      </c>
      <c r="X26" s="8" t="s">
        <v>41</v>
      </c>
      <c r="Y26" s="9">
        <v>10</v>
      </c>
      <c r="Z26" s="8" t="s">
        <v>186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47.25" x14ac:dyDescent="0.25">
      <c r="A27" s="8"/>
      <c r="B27" s="8"/>
      <c r="C27" s="8" t="s">
        <v>33</v>
      </c>
      <c r="D27" s="8" t="s">
        <v>187</v>
      </c>
      <c r="E27" s="9">
        <v>5</v>
      </c>
      <c r="F27" s="8" t="s">
        <v>188</v>
      </c>
      <c r="G27" s="8" t="s">
        <v>94</v>
      </c>
      <c r="H27" s="8" t="s">
        <v>36</v>
      </c>
      <c r="I27" s="8" t="s">
        <v>37</v>
      </c>
      <c r="J27" s="8" t="s">
        <v>37</v>
      </c>
      <c r="K27" s="8" t="s">
        <v>37</v>
      </c>
      <c r="L27" s="9">
        <v>5</v>
      </c>
      <c r="M27" s="8" t="s">
        <v>36</v>
      </c>
      <c r="N27" s="8" t="s">
        <v>37</v>
      </c>
      <c r="O27" s="8" t="s">
        <v>37</v>
      </c>
      <c r="P27" s="9">
        <v>5</v>
      </c>
      <c r="Q27" s="8" t="s">
        <v>36</v>
      </c>
      <c r="R27" s="8" t="s">
        <v>37</v>
      </c>
      <c r="S27" s="8" t="s">
        <v>36</v>
      </c>
      <c r="T27" s="8" t="s">
        <v>37</v>
      </c>
      <c r="U27" s="8" t="s">
        <v>40</v>
      </c>
      <c r="V27" s="8" t="s">
        <v>37</v>
      </c>
      <c r="W27" s="8" t="s">
        <v>37</v>
      </c>
      <c r="X27" s="8" t="s">
        <v>112</v>
      </c>
      <c r="Y27" s="9">
        <v>5</v>
      </c>
      <c r="Z27" s="8" t="s">
        <v>145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4" sqref="G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7">
        <f>AVERAGE('Исходные данные (итог. анкета)'!E:E)</f>
        <v>9.7307692307692299</v>
      </c>
      <c r="C4" s="7">
        <f>AVERAGE('Исходные данные (итог. анкета)'!L:L)</f>
        <v>9.7307692307692299</v>
      </c>
      <c r="D4" s="7">
        <f>AVERAGE('Исходные данные (итог. анкета)'!P:P)</f>
        <v>9.7692307692307701</v>
      </c>
      <c r="E4" s="6">
        <f>COUNTIF('Исходные данные (итог. анкета)'!U:U,"нет")/COUNTA('Исходные данные (итог. анкета)'!U2:U499)</f>
        <v>1</v>
      </c>
      <c r="F4" s="7">
        <f>AVERAGE('Исходные данные (итог. анкета)'!Y:Y)</f>
        <v>9.6923076923076916</v>
      </c>
      <c r="G4" s="7">
        <f>AVERAGE(B4:D4,F4)</f>
        <v>9.7307692307692299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2026-07-01T09:12:05Z</dcterms:modified>
</cp:coreProperties>
</file>