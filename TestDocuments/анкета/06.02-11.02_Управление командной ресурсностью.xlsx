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/>
  <c r="G4" i="2" l="1"/>
</calcChain>
</file>

<file path=xl/sharedStrings.xml><?xml version="1.0" encoding="utf-8"?>
<sst xmlns="http://schemas.openxmlformats.org/spreadsheetml/2006/main" count="307" uniqueCount="159">
  <si>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</si>
  <si>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</si>
  <si>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</si>
  <si>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</si>
  <si>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</si>
  <si>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</si>
  <si>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</si>
  <si>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</si>
  <si>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</si>
  <si>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</si>
  <si>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</si>
  <si>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</si>
  <si>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Был ли достигнут ожидаемый эффект от обучения? Если нет, напишите, пожалуйста, почему?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</si>
  <si>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</si>
  <si>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</si>
  <si>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Достаточно ли практических заданий, примеров, разборов ситуаций? Если нет, какие темы и (или) вопросы требуют большей практической отработки?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</si>
  <si>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</si>
  <si>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</si>
  <si>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</si>
  <si>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Чувствовали ли Вы свою отстраненность от процесса, потерю интереса во время обучения? Если да, в какие моменты обучения они возникали?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</si>
  <si>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</si>
  <si>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</si>
  <si>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</si>
  <si>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</si>
  <si>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</si>
  <si>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</si>
  <si>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</si>
  <si>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Понравились темы, которые были в первый день.</t>
  </si>
  <si>
    <t>Пока не готов ответить.</t>
  </si>
  <si>
    <t>нет</t>
  </si>
  <si>
    <t>личная ресурсность и стрессоустойчивость</t>
  </si>
  <si>
    <t>научился создавать условия для пополнения своей энергии и своих подчиненных</t>
  </si>
  <si>
    <t>да</t>
  </si>
  <si>
    <t>Очень рекомендую этот курс
полезная и интересная информация</t>
  </si>
  <si>
    <t>как найти в себе силы двигаться вперед, включить оптимизм</t>
  </si>
  <si>
    <t>Все, они могут применяться на практике</t>
  </si>
  <si>
    <t>Все</t>
  </si>
  <si>
    <t>личная антихрупкость, профессиональное выгорание</t>
  </si>
  <si>
    <t>методики расслабления, концентрации, поднятия духа и настроения</t>
  </si>
  <si>
    <t>снижение уровня стресса
профилактика выгорания меня и сотрудников</t>
  </si>
  <si>
    <t>профилактика выгорания, очень помогает в работе</t>
  </si>
  <si>
    <t>3 хорошие вещи, которые со мной сегодня произошли</t>
  </si>
  <si>
    <t>практики возобновления энергии, оптика оптимизма, методы профилактики выгорания команды</t>
  </si>
  <si>
    <t>практики поощрения, позитивного мышления коллектива</t>
  </si>
  <si>
    <t>Разница "усталости" и "выгорания"
как понять реальна ли проблема
на что обратить внимание при общении с сотрудниками</t>
  </si>
  <si>
    <t>практические инструменты и приемы скорой помощи
помощь себе и своим сотрудникам
диагностика своего состояния и состояния сотрудников</t>
  </si>
  <si>
    <t>Как повысить результативность сотрудников . Как выработать стрессоустойчивость.</t>
  </si>
  <si>
    <t>методики настроя на позитивное мышление</t>
  </si>
  <si>
    <t>Инструменты повышения энергетической ресурстности</t>
  </si>
  <si>
    <t>Уже применяю, повышение своей рабочей ресурстности и сотрудников</t>
  </si>
  <si>
    <t>Профилактика выгорания. Необходимо знать для личного и коллективного здорового отношения к работе.</t>
  </si>
  <si>
    <t>отношение к делу и взаимоотношения в коллективе</t>
  </si>
  <si>
    <t>темы, связанные с повышением стрессоустойчивости, оптимизма и заряженности сотрудников на выполнение поставленных задач.
Очень актуально в условиях нынешней многозадачности.</t>
  </si>
  <si>
    <t>Все рассказанное можно применить и буду стараться применять</t>
  </si>
  <si>
    <t>Умение настраивать команду на позитив, повышение результативности. Интересные практические занятия, которые можно использовать, чтобы помочь себе и другим избежать выгорания.
Работа со стрессами. Важна не только в профессиональной сфере, но и в личной жизни.</t>
  </si>
  <si>
    <t>различные тренинги,  умения находить позитивное,</t>
  </si>
  <si>
    <t>Методы борьбы со стрессом, как защитить команду от выгорания</t>
  </si>
  <si>
    <t>Повлиять на настроение коллектива</t>
  </si>
  <si>
    <t>Вопросы выгорания</t>
  </si>
  <si>
    <t>методики борьбы со стрессом</t>
  </si>
  <si>
    <t>борьба со стрессом</t>
  </si>
  <si>
    <t>очень много из предложенных спикером</t>
  </si>
  <si>
    <t>Снятие стресса - помогает в работе</t>
  </si>
  <si>
    <t>релаксация физическая и эмоциональная</t>
  </si>
  <si>
    <t>Все, потому что это про жизнь</t>
  </si>
  <si>
    <t>умение искать и применять позитив</t>
  </si>
  <si>
    <t>Вопросы мотивации сотрудника и профилактики выгорания (позитивное фокусирование) , самоэффективность, восстановление ресурсов после стресса</t>
  </si>
  <si>
    <t>практические задания и тренинги, которые были даны на обучении ( 3 позитивных мысли здесь и сейчас например)</t>
  </si>
  <si>
    <t>нет, пока объективно не могу сказать, какие из подходов применимы на практике на госслужбе.</t>
  </si>
  <si>
    <t>Вопросы, которые были в четвертый день.</t>
  </si>
  <si>
    <t>я бы  ничего не изменяла</t>
  </si>
  <si>
    <t>Никакие</t>
  </si>
  <si>
    <t>тетрадь методичка не исключить, а сделать цветной и информативнее</t>
  </si>
  <si>
    <t>-</t>
  </si>
  <si>
    <t>нет таких</t>
  </si>
  <si>
    <t>все очень полезные</t>
  </si>
  <si>
    <t>ничего не надо исключать</t>
  </si>
  <si>
    <t>Все важны</t>
  </si>
  <si>
    <t>я бы не исключал</t>
  </si>
  <si>
    <t>никакие. все нужное</t>
  </si>
  <si>
    <t>Никакие. Все было очень интересно и важно.</t>
  </si>
  <si>
    <t>никакие</t>
  </si>
  <si>
    <t>Ничего исключать не стоит</t>
  </si>
  <si>
    <t>.</t>
  </si>
  <si>
    <t>не выявлено</t>
  </si>
  <si>
    <t>Компетенциями по работе с командой.</t>
  </si>
  <si>
    <t>не знаю</t>
  </si>
  <si>
    <t>может быть чуть больше практики</t>
  </si>
  <si>
    <t>Медицинскими</t>
  </si>
  <si>
    <t>темы последнего дня были наиболее интересны. командная работа.</t>
  </si>
  <si>
    <t>можно увеличить интерактив и моделирование кейсов</t>
  </si>
  <si>
    <t>в данном объеме  ( 5 дней) программа актуальна и полезна</t>
  </si>
  <si>
    <t>все охваченно</t>
  </si>
  <si>
    <t>Полагается, что курс полноценный</t>
  </si>
  <si>
    <t>главное не испортить</t>
  </si>
  <si>
    <t>предложений нет</t>
  </si>
  <si>
    <t>Все продуманно и очень эффективно.</t>
  </si>
  <si>
    <t>больше практической  информации про способы борьбы со стрессом</t>
  </si>
  <si>
    <t>все устраивает</t>
  </si>
  <si>
    <t>возможно примеры негативных практик ( ошибка выжившего) как иногда не получается..</t>
  </si>
  <si>
    <t>нет, настрой коллектива на позитивное мышление, чтобы работа была продуктивной и приносила удовольствие</t>
  </si>
  <si>
    <t>всего было достаточно и очень емко</t>
  </si>
  <si>
    <t>ничего не меняла</t>
  </si>
  <si>
    <t>Ничего</t>
  </si>
  <si>
    <t>затрудняюсь</t>
  </si>
  <si>
    <t>программа максимально адаптир. к гослужбе</t>
  </si>
  <si>
    <t>формат практических занятиях не требует изменений</t>
  </si>
  <si>
    <t>Программа воспринимается достаточно полной</t>
  </si>
  <si>
    <t>ничего</t>
  </si>
  <si>
    <t>Жаль, что курс закончился так быстро.</t>
  </si>
  <si>
    <t>больше личных примеров из жизни</t>
  </si>
  <si>
    <t>время проведения) либо вечер либо выходные</t>
  </si>
  <si>
    <t>нет, преподаватель не предложила задать интересующие вопросы</t>
  </si>
  <si>
    <t>все хорошо и позитивно</t>
  </si>
  <si>
    <t>Больше треннингов</t>
  </si>
  <si>
    <t>увеличить количество часов</t>
  </si>
  <si>
    <t>более маленькая группа</t>
  </si>
  <si>
    <t>все отлично</t>
  </si>
  <si>
    <t>видеоролики</t>
  </si>
  <si>
    <t>Полная вовлеченность была</t>
  </si>
  <si>
    <t>всего достаточно</t>
  </si>
  <si>
    <t>всегда была вовлечена в процесс</t>
  </si>
  <si>
    <t>Погружение и так было абсолютно полным.</t>
  </si>
  <si>
    <t>более долгий курс</t>
  </si>
  <si>
    <t>еще больше практических занятий</t>
  </si>
  <si>
    <t>больше свободного времени от работы</t>
  </si>
  <si>
    <t>полностью дистанционный формат обучения</t>
  </si>
  <si>
    <t>очное обучение в аудиториях Корпоративного университета</t>
  </si>
  <si>
    <t>Хороший подбор лектора с опытом госслужбы</t>
  </si>
  <si>
    <t>всегда на связи, помогут и подскажут</t>
  </si>
  <si>
    <t>Все слаженно, оперативно и эффективно</t>
  </si>
  <si>
    <t>взаимодействие было эффективным</t>
  </si>
  <si>
    <t>поддержка, информирование</t>
  </si>
  <si>
    <t>смешанное обучение: частично очно, частично дистанционно</t>
  </si>
  <si>
    <t>по всем вопросам можно было обратиться за поддержкой</t>
  </si>
  <si>
    <t>Команда максимально открыта и всегда помогала</t>
  </si>
  <si>
    <t>всем было интересно, полное участие во всех заданиях</t>
  </si>
  <si>
    <t>Спасибо!!! Вы отличная команда!</t>
  </si>
  <si>
    <t>Программа воспринимается достаточно полной и команда помогало во всем</t>
  </si>
  <si>
    <t>Все молодцы!</t>
  </si>
  <si>
    <t>все очень доброжелательные начиная с охраны, заканчивая преподавателя.
Спасибо!</t>
  </si>
  <si>
    <t>Отлично организованная обратная связь, компетентность сотрудников университета и, конечно, в первую очередь преподавателей курсов. Прекрасно, что были подготовлены методические материалы, размещались в группе тесты.</t>
  </si>
  <si>
    <t>Идеальный курс!!!!!!!!!!!!</t>
  </si>
  <si>
    <t>нужная тема</t>
  </si>
  <si>
    <t>большое спасибо куратору курса - Анастасии В., очень профессиональное руководство</t>
  </si>
  <si>
    <t>Вы быстро, удобно и доступно приходило во всех формах - почта мессенджер, вежливое очное сопроавождение на месте</t>
  </si>
  <si>
    <t>начальник отдела</t>
  </si>
  <si>
    <t>заместитель начальника Отдела</t>
  </si>
  <si>
    <t>заместитель начальника Отдела - начальник сектора</t>
  </si>
  <si>
    <t>Начальник отдела</t>
  </si>
  <si>
    <t>Заместитель председателя Комитета - начальник отдела туристской инфраструктуры</t>
  </si>
  <si>
    <t>начальник сектора</t>
  </si>
  <si>
    <t>первый заместитель главы администрации</t>
  </si>
  <si>
    <t>заместитель начальника отдела</t>
  </si>
  <si>
    <t>Главный специалист</t>
  </si>
  <si>
    <t>Заместитель начальника управления - начальник отдела</t>
  </si>
  <si>
    <t>начальник отдела Управления</t>
  </si>
  <si>
    <t>начальник аппарата вице-губернатора Санкт-Петербурга</t>
  </si>
  <si>
    <t>начальник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</si>
</sst>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948"/>
  <sheetViews>
    <sheetView tabSelected="1" zoomScale="75" zoomScaleNormal="75" workbookViewId="0">
      <selection activeCell="A2" sqref="A2:B21"/>
    </sheetView>
  </sheetViews>
  <sheetFormatPr defaultRowHeight="15" x14ac:dyDescent="0.25"/>
  <cols>
    <col min="1" max="2" width="22.28515625" customWidth="1"/>
    <col min="3" max="3" width="22.42578125" customWidth="1"/>
    <col min="4" max="4" width="27.42578125" customWidth="1"/>
    <col min="5" max="5" width="28.28515625" customWidth="1"/>
    <col min="6" max="6" width="27.28515625" customWidth="1"/>
    <col min="7" max="7" width="26.85546875" customWidth="1"/>
    <col min="8" max="8" width="26.5703125" customWidth="1"/>
    <col min="9" max="9" width="27" customWidth="1"/>
    <col min="10" max="10" width="32.140625" customWidth="1"/>
    <col min="11" max="11" width="25.7109375" customWidth="1"/>
    <col min="12" max="12" width="25.140625" customWidth="1"/>
    <col min="13" max="13" width="26.28515625" customWidth="1"/>
    <col min="14" max="14" width="24.85546875" customWidth="1"/>
    <col min="15" max="15" width="23.5703125" customWidth="1"/>
    <col min="16" max="16" width="24.85546875" customWidth="1"/>
    <col min="17" max="17" width="24" customWidth="1"/>
    <col min="18" max="18" width="24.28515625" customWidth="1"/>
    <col min="19" max="19" width="35.5703125" customWidth="1"/>
    <col min="20" max="20" width="24.140625" customWidth="1"/>
    <col min="21" max="21" width="21.140625" customWidth="1"/>
    <col min="22" max="22" width="20.28515625" customWidth="1"/>
  </cols>
  <sheetData>
    <row r="1" spans="1:100" ht="173.25" customHeight="1" x14ac:dyDescent="0.25">
      <c r="A1" s="6" t="s">
        <v>7</v>
      </c>
      <c r="B1" s="6" t="s">
        <v>8</v>
      </c>
      <c r="C1" s="6" t="s">
        <v>9</v>
      </c>
      <c r="D1" s="5" t="s">
        <v>23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5" t="s">
        <v>24</v>
      </c>
      <c r="K1" s="6" t="s">
        <v>15</v>
      </c>
      <c r="L1" s="6" t="s">
        <v>16</v>
      </c>
      <c r="M1" s="5" t="s">
        <v>25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26</v>
      </c>
      <c r="T1" s="6" t="s">
        <v>22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60" x14ac:dyDescent="0.25">
      <c r="A2" s="8"/>
      <c r="B2" s="8"/>
      <c r="C2" s="8" t="s">
        <v>146</v>
      </c>
      <c r="D2" s="8">
        <v>8</v>
      </c>
      <c r="E2" s="8" t="s">
        <v>27</v>
      </c>
      <c r="F2" s="8" t="s">
        <v>28</v>
      </c>
      <c r="G2" s="8" t="s">
        <v>68</v>
      </c>
      <c r="H2" s="8" t="s">
        <v>69</v>
      </c>
      <c r="I2" s="8" t="s">
        <v>85</v>
      </c>
      <c r="J2" s="8">
        <v>8</v>
      </c>
      <c r="K2" s="8" t="s">
        <v>32</v>
      </c>
      <c r="L2" s="8" t="s">
        <v>73</v>
      </c>
      <c r="M2" s="8">
        <v>8</v>
      </c>
      <c r="N2" s="8" t="s">
        <v>32</v>
      </c>
      <c r="O2" s="4" t="s">
        <v>32</v>
      </c>
      <c r="P2" s="9" t="s">
        <v>32</v>
      </c>
      <c r="Q2" s="8" t="s">
        <v>73</v>
      </c>
      <c r="R2" s="8" t="s">
        <v>126</v>
      </c>
      <c r="S2" s="8">
        <v>10</v>
      </c>
      <c r="T2" s="8" t="s">
        <v>73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60" x14ac:dyDescent="0.25">
      <c r="A3" s="8"/>
      <c r="B3" s="8"/>
      <c r="C3" s="8" t="s">
        <v>146</v>
      </c>
      <c r="D3" s="8">
        <v>9</v>
      </c>
      <c r="E3" s="8" t="s">
        <v>30</v>
      </c>
      <c r="F3" s="8" t="s">
        <v>31</v>
      </c>
      <c r="G3" s="8" t="s">
        <v>32</v>
      </c>
      <c r="H3" s="8" t="s">
        <v>29</v>
      </c>
      <c r="I3" s="8" t="s">
        <v>86</v>
      </c>
      <c r="J3" s="8">
        <v>9</v>
      </c>
      <c r="K3" s="8" t="s">
        <v>32</v>
      </c>
      <c r="L3" s="8" t="s">
        <v>101</v>
      </c>
      <c r="M3" s="8">
        <v>10</v>
      </c>
      <c r="N3" s="8" t="s">
        <v>32</v>
      </c>
      <c r="O3" s="4" t="s">
        <v>32</v>
      </c>
      <c r="P3" s="9" t="s">
        <v>29</v>
      </c>
      <c r="Q3" s="8" t="s">
        <v>73</v>
      </c>
      <c r="R3" s="8" t="s">
        <v>127</v>
      </c>
      <c r="S3" s="8">
        <v>10</v>
      </c>
      <c r="T3" s="8" t="s">
        <v>128</v>
      </c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60" x14ac:dyDescent="0.25">
      <c r="A4" s="8"/>
      <c r="B4" s="8"/>
      <c r="C4" s="8" t="s">
        <v>147</v>
      </c>
      <c r="D4" s="8">
        <v>9</v>
      </c>
      <c r="E4" s="8" t="s">
        <v>33</v>
      </c>
      <c r="F4" s="8" t="s">
        <v>34</v>
      </c>
      <c r="G4" s="8" t="s">
        <v>32</v>
      </c>
      <c r="H4" s="8" t="s">
        <v>70</v>
      </c>
      <c r="I4" s="8" t="s">
        <v>87</v>
      </c>
      <c r="J4" s="8">
        <v>8</v>
      </c>
      <c r="K4" s="8" t="s">
        <v>32</v>
      </c>
      <c r="L4" s="8" t="s">
        <v>102</v>
      </c>
      <c r="M4" s="8">
        <v>10</v>
      </c>
      <c r="N4" s="8" t="s">
        <v>32</v>
      </c>
      <c r="O4" s="4" t="s">
        <v>32</v>
      </c>
      <c r="P4" s="9" t="s">
        <v>29</v>
      </c>
      <c r="Q4" s="8" t="s">
        <v>113</v>
      </c>
      <c r="R4" s="8" t="s">
        <v>127</v>
      </c>
      <c r="S4" s="8">
        <v>10</v>
      </c>
      <c r="T4" s="8" t="s">
        <v>129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60" x14ac:dyDescent="0.25">
      <c r="A5" s="8"/>
      <c r="B5" s="8"/>
      <c r="C5" s="8" t="s">
        <v>148</v>
      </c>
      <c r="D5" s="8">
        <v>10</v>
      </c>
      <c r="E5" s="8" t="s">
        <v>35</v>
      </c>
      <c r="F5" s="8" t="s">
        <v>36</v>
      </c>
      <c r="G5" s="8" t="s">
        <v>32</v>
      </c>
      <c r="H5" s="8" t="s">
        <v>71</v>
      </c>
      <c r="I5" s="8" t="s">
        <v>88</v>
      </c>
      <c r="J5" s="8">
        <v>10</v>
      </c>
      <c r="K5" s="8" t="s">
        <v>32</v>
      </c>
      <c r="L5" s="8" t="s">
        <v>103</v>
      </c>
      <c r="M5" s="8">
        <v>10</v>
      </c>
      <c r="N5" s="8" t="s">
        <v>32</v>
      </c>
      <c r="O5" s="4" t="s">
        <v>32</v>
      </c>
      <c r="P5" s="9" t="s">
        <v>29</v>
      </c>
      <c r="Q5" s="8" t="s">
        <v>114</v>
      </c>
      <c r="R5" s="8" t="s">
        <v>127</v>
      </c>
      <c r="S5" s="8">
        <v>10</v>
      </c>
      <c r="T5" s="8" t="s">
        <v>130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60" x14ac:dyDescent="0.25">
      <c r="A6" s="8"/>
      <c r="B6" s="8"/>
      <c r="C6" s="8" t="s">
        <v>149</v>
      </c>
      <c r="D6" s="8">
        <v>10</v>
      </c>
      <c r="E6" s="8" t="s">
        <v>37</v>
      </c>
      <c r="F6" s="8" t="s">
        <v>38</v>
      </c>
      <c r="G6" s="8" t="s">
        <v>32</v>
      </c>
      <c r="H6" s="8" t="s">
        <v>29</v>
      </c>
      <c r="I6" s="8" t="s">
        <v>29</v>
      </c>
      <c r="J6" s="8">
        <v>10</v>
      </c>
      <c r="K6" s="8" t="s">
        <v>32</v>
      </c>
      <c r="L6" s="8" t="s">
        <v>29</v>
      </c>
      <c r="M6" s="8">
        <v>10</v>
      </c>
      <c r="N6" s="8" t="s">
        <v>32</v>
      </c>
      <c r="O6" s="4" t="s">
        <v>32</v>
      </c>
      <c r="P6" s="9" t="s">
        <v>29</v>
      </c>
      <c r="Q6" s="8" t="s">
        <v>115</v>
      </c>
      <c r="R6" s="8" t="s">
        <v>127</v>
      </c>
      <c r="S6" s="8">
        <v>10</v>
      </c>
      <c r="T6" s="8" t="s">
        <v>131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60" x14ac:dyDescent="0.25">
      <c r="A7" s="8"/>
      <c r="B7" s="8"/>
      <c r="C7" s="8" t="s">
        <v>149</v>
      </c>
      <c r="D7" s="8">
        <v>9</v>
      </c>
      <c r="E7" s="8" t="s">
        <v>39</v>
      </c>
      <c r="F7" s="8" t="s">
        <v>39</v>
      </c>
      <c r="G7" s="8" t="s">
        <v>32</v>
      </c>
      <c r="H7" s="11" t="s">
        <v>72</v>
      </c>
      <c r="I7" s="8" t="s">
        <v>89</v>
      </c>
      <c r="J7" s="8">
        <v>8</v>
      </c>
      <c r="K7" s="8" t="s">
        <v>32</v>
      </c>
      <c r="L7" s="8" t="s">
        <v>104</v>
      </c>
      <c r="M7" s="8">
        <v>8</v>
      </c>
      <c r="N7" s="8" t="s">
        <v>32</v>
      </c>
      <c r="O7" s="8" t="s">
        <v>112</v>
      </c>
      <c r="P7" s="8" t="s">
        <v>32</v>
      </c>
      <c r="Q7" s="8" t="s">
        <v>104</v>
      </c>
      <c r="R7" s="8" t="s">
        <v>127</v>
      </c>
      <c r="S7" s="8">
        <v>10</v>
      </c>
      <c r="T7" s="8" t="s">
        <v>132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45" x14ac:dyDescent="0.25">
      <c r="A8" s="8"/>
      <c r="B8" s="8"/>
      <c r="C8" s="8" t="s">
        <v>146</v>
      </c>
      <c r="D8" s="8">
        <v>10</v>
      </c>
      <c r="E8" s="8" t="s">
        <v>40</v>
      </c>
      <c r="F8" s="8" t="s">
        <v>41</v>
      </c>
      <c r="G8" s="8" t="s">
        <v>32</v>
      </c>
      <c r="H8" s="8" t="s">
        <v>73</v>
      </c>
      <c r="I8" s="8" t="s">
        <v>73</v>
      </c>
      <c r="J8" s="8">
        <v>10</v>
      </c>
      <c r="K8" s="8" t="s">
        <v>32</v>
      </c>
      <c r="L8" s="8" t="s">
        <v>29</v>
      </c>
      <c r="M8" s="8">
        <v>10</v>
      </c>
      <c r="N8" s="8" t="s">
        <v>32</v>
      </c>
      <c r="O8" s="4" t="s">
        <v>32</v>
      </c>
      <c r="P8" s="8" t="s">
        <v>29</v>
      </c>
      <c r="Q8" s="8" t="s">
        <v>73</v>
      </c>
      <c r="R8" s="8" t="s">
        <v>133</v>
      </c>
      <c r="S8" s="8">
        <v>10</v>
      </c>
      <c r="T8" s="8" t="s">
        <v>134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75" x14ac:dyDescent="0.25">
      <c r="A9" s="8"/>
      <c r="B9" s="8"/>
      <c r="C9" s="8" t="s">
        <v>150</v>
      </c>
      <c r="D9" s="8">
        <v>10</v>
      </c>
      <c r="E9" s="8" t="s">
        <v>42</v>
      </c>
      <c r="F9" s="8" t="s">
        <v>43</v>
      </c>
      <c r="G9" s="8" t="s">
        <v>32</v>
      </c>
      <c r="H9" s="8" t="s">
        <v>74</v>
      </c>
      <c r="I9" s="8" t="s">
        <v>90</v>
      </c>
      <c r="J9" s="8">
        <v>9</v>
      </c>
      <c r="K9" s="8" t="s">
        <v>32</v>
      </c>
      <c r="L9" s="8" t="s">
        <v>74</v>
      </c>
      <c r="M9" s="8">
        <v>10</v>
      </c>
      <c r="N9" s="8" t="s">
        <v>32</v>
      </c>
      <c r="O9" s="4" t="s">
        <v>32</v>
      </c>
      <c r="P9" s="8" t="s">
        <v>29</v>
      </c>
      <c r="Q9" s="8" t="s">
        <v>116</v>
      </c>
      <c r="R9" s="8" t="s">
        <v>133</v>
      </c>
      <c r="S9" s="8">
        <v>10</v>
      </c>
      <c r="T9" s="8" t="s">
        <v>135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105" x14ac:dyDescent="0.25">
      <c r="A10" s="8"/>
      <c r="B10" s="8"/>
      <c r="C10" s="8" t="s">
        <v>149</v>
      </c>
      <c r="D10" s="8">
        <v>10</v>
      </c>
      <c r="E10" s="8" t="s">
        <v>44</v>
      </c>
      <c r="F10" s="8" t="s">
        <v>45</v>
      </c>
      <c r="G10" s="8" t="s">
        <v>32</v>
      </c>
      <c r="H10" s="8" t="s">
        <v>75</v>
      </c>
      <c r="I10" s="8" t="s">
        <v>91</v>
      </c>
      <c r="J10" s="8">
        <v>10</v>
      </c>
      <c r="K10" s="8" t="s">
        <v>32</v>
      </c>
      <c r="L10" s="8" t="s">
        <v>105</v>
      </c>
      <c r="M10" s="8">
        <v>10</v>
      </c>
      <c r="N10" s="8" t="s">
        <v>32</v>
      </c>
      <c r="O10" s="4" t="s">
        <v>32</v>
      </c>
      <c r="P10" s="8" t="s">
        <v>29</v>
      </c>
      <c r="Q10" s="8" t="s">
        <v>117</v>
      </c>
      <c r="R10" s="8" t="s">
        <v>133</v>
      </c>
      <c r="S10" s="8">
        <v>10</v>
      </c>
      <c r="T10" s="8" t="s">
        <v>136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75" x14ac:dyDescent="0.25">
      <c r="A11" s="8"/>
      <c r="B11" s="8"/>
      <c r="C11" s="8" t="s">
        <v>149</v>
      </c>
      <c r="D11" s="8">
        <v>10</v>
      </c>
      <c r="E11" s="8" t="s">
        <v>46</v>
      </c>
      <c r="F11" s="8" t="s">
        <v>47</v>
      </c>
      <c r="G11" s="8" t="s">
        <v>32</v>
      </c>
      <c r="H11" s="8" t="s">
        <v>76</v>
      </c>
      <c r="I11" s="8" t="s">
        <v>92</v>
      </c>
      <c r="J11" s="8">
        <v>10</v>
      </c>
      <c r="K11" s="8" t="s">
        <v>32</v>
      </c>
      <c r="L11" s="8" t="s">
        <v>106</v>
      </c>
      <c r="M11" s="8">
        <v>10</v>
      </c>
      <c r="N11" s="8" t="s">
        <v>32</v>
      </c>
      <c r="O11" s="4" t="s">
        <v>32</v>
      </c>
      <c r="P11" s="8" t="s">
        <v>29</v>
      </c>
      <c r="Q11" s="8" t="s">
        <v>118</v>
      </c>
      <c r="R11" s="8" t="s">
        <v>133</v>
      </c>
      <c r="S11" s="8">
        <v>10</v>
      </c>
      <c r="T11" s="8" t="s">
        <v>137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ht="75" x14ac:dyDescent="0.25">
      <c r="A12" s="8"/>
      <c r="B12" s="8"/>
      <c r="C12" s="8" t="s">
        <v>151</v>
      </c>
      <c r="D12" s="8">
        <v>10</v>
      </c>
      <c r="E12" s="8" t="s">
        <v>48</v>
      </c>
      <c r="F12" s="8" t="s">
        <v>49</v>
      </c>
      <c r="G12" s="8" t="s">
        <v>32</v>
      </c>
      <c r="H12" s="8" t="s">
        <v>77</v>
      </c>
      <c r="I12" s="8" t="s">
        <v>93</v>
      </c>
      <c r="J12" s="8">
        <v>10</v>
      </c>
      <c r="K12" s="8" t="s">
        <v>32</v>
      </c>
      <c r="L12" s="8" t="s">
        <v>107</v>
      </c>
      <c r="M12" s="8">
        <v>10</v>
      </c>
      <c r="N12" s="8" t="s">
        <v>32</v>
      </c>
      <c r="O12" s="4" t="s">
        <v>32</v>
      </c>
      <c r="P12" s="8" t="s">
        <v>29</v>
      </c>
      <c r="Q12" s="8" t="s">
        <v>119</v>
      </c>
      <c r="R12" s="8" t="s">
        <v>127</v>
      </c>
      <c r="S12" s="8">
        <v>10</v>
      </c>
      <c r="T12" s="8" t="s">
        <v>138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ht="75" x14ac:dyDescent="0.25">
      <c r="A13" s="8"/>
      <c r="B13" s="8"/>
      <c r="C13" s="8" t="s">
        <v>152</v>
      </c>
      <c r="D13" s="8">
        <v>10</v>
      </c>
      <c r="E13" s="8" t="s">
        <v>50</v>
      </c>
      <c r="F13" s="8" t="s">
        <v>51</v>
      </c>
      <c r="G13" s="8" t="s">
        <v>32</v>
      </c>
      <c r="H13" s="8" t="s">
        <v>78</v>
      </c>
      <c r="I13" s="8" t="s">
        <v>94</v>
      </c>
      <c r="J13" s="8">
        <v>10</v>
      </c>
      <c r="K13" s="8" t="s">
        <v>32</v>
      </c>
      <c r="L13" s="8" t="s">
        <v>108</v>
      </c>
      <c r="M13" s="8">
        <v>10</v>
      </c>
      <c r="N13" s="8" t="s">
        <v>32</v>
      </c>
      <c r="O13" s="4" t="s">
        <v>32</v>
      </c>
      <c r="P13" s="8" t="s">
        <v>29</v>
      </c>
      <c r="Q13" s="8" t="s">
        <v>120</v>
      </c>
      <c r="R13" s="8" t="s">
        <v>127</v>
      </c>
      <c r="S13" s="8">
        <v>10</v>
      </c>
      <c r="T13" s="8" t="s">
        <v>139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ht="120" x14ac:dyDescent="0.25">
      <c r="A14" s="8"/>
      <c r="B14" s="8"/>
      <c r="C14" s="8" t="s">
        <v>153</v>
      </c>
      <c r="D14" s="8">
        <v>10</v>
      </c>
      <c r="E14" s="8" t="s">
        <v>52</v>
      </c>
      <c r="F14" s="8" t="s">
        <v>53</v>
      </c>
      <c r="G14" s="8" t="s">
        <v>32</v>
      </c>
      <c r="H14" s="8" t="s">
        <v>79</v>
      </c>
      <c r="I14" s="8" t="s">
        <v>95</v>
      </c>
      <c r="J14" s="8">
        <v>10</v>
      </c>
      <c r="K14" s="8" t="s">
        <v>32</v>
      </c>
      <c r="L14" s="8" t="s">
        <v>108</v>
      </c>
      <c r="M14" s="8">
        <v>10</v>
      </c>
      <c r="N14" s="8" t="s">
        <v>32</v>
      </c>
      <c r="O14" s="4" t="s">
        <v>32</v>
      </c>
      <c r="P14" s="8" t="s">
        <v>29</v>
      </c>
      <c r="Q14" s="8" t="s">
        <v>121</v>
      </c>
      <c r="R14" s="8" t="s">
        <v>133</v>
      </c>
      <c r="S14" s="8">
        <v>10</v>
      </c>
      <c r="T14" s="8" t="s">
        <v>140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ht="225" x14ac:dyDescent="0.25">
      <c r="A15" s="8"/>
      <c r="B15" s="8"/>
      <c r="C15" s="8" t="s">
        <v>154</v>
      </c>
      <c r="D15" s="8">
        <v>10</v>
      </c>
      <c r="E15" s="8" t="s">
        <v>54</v>
      </c>
      <c r="F15" s="8" t="s">
        <v>55</v>
      </c>
      <c r="G15" s="8" t="s">
        <v>32</v>
      </c>
      <c r="H15" s="8" t="s">
        <v>80</v>
      </c>
      <c r="I15" s="8" t="s">
        <v>96</v>
      </c>
      <c r="J15" s="8">
        <v>10</v>
      </c>
      <c r="K15" s="8" t="s">
        <v>32</v>
      </c>
      <c r="L15" s="8" t="s">
        <v>109</v>
      </c>
      <c r="M15" s="8">
        <v>10</v>
      </c>
      <c r="N15" s="8" t="s">
        <v>32</v>
      </c>
      <c r="O15" s="4" t="s">
        <v>32</v>
      </c>
      <c r="P15" s="8" t="s">
        <v>29</v>
      </c>
      <c r="Q15" s="8" t="s">
        <v>122</v>
      </c>
      <c r="R15" s="8" t="s">
        <v>127</v>
      </c>
      <c r="S15" s="8">
        <v>10</v>
      </c>
      <c r="T15" s="8" t="s">
        <v>141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ht="75" x14ac:dyDescent="0.25">
      <c r="A16" s="8"/>
      <c r="B16" s="8"/>
      <c r="C16" s="8" t="s">
        <v>155</v>
      </c>
      <c r="D16" s="8">
        <v>10</v>
      </c>
      <c r="E16" s="8" t="s">
        <v>56</v>
      </c>
      <c r="F16" s="8" t="s">
        <v>57</v>
      </c>
      <c r="G16" s="8" t="s">
        <v>32</v>
      </c>
      <c r="H16" s="8" t="s">
        <v>81</v>
      </c>
      <c r="I16" s="8" t="s">
        <v>97</v>
      </c>
      <c r="J16" s="8">
        <v>7</v>
      </c>
      <c r="K16" s="8" t="s">
        <v>100</v>
      </c>
      <c r="L16" s="8" t="s">
        <v>110</v>
      </c>
      <c r="M16" s="8">
        <v>10</v>
      </c>
      <c r="N16" s="8" t="s">
        <v>32</v>
      </c>
      <c r="O16" s="4" t="s">
        <v>32</v>
      </c>
      <c r="P16" s="8" t="s">
        <v>29</v>
      </c>
      <c r="Q16" s="8" t="s">
        <v>73</v>
      </c>
      <c r="R16" s="8" t="s">
        <v>127</v>
      </c>
      <c r="S16" s="8">
        <v>10</v>
      </c>
      <c r="T16" s="8" t="s">
        <v>142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ht="60" x14ac:dyDescent="0.25">
      <c r="A17" s="8"/>
      <c r="B17" s="8"/>
      <c r="C17" s="8" t="s">
        <v>156</v>
      </c>
      <c r="D17" s="8">
        <v>10</v>
      </c>
      <c r="E17" s="8" t="s">
        <v>58</v>
      </c>
      <c r="F17" s="8" t="s">
        <v>59</v>
      </c>
      <c r="G17" s="8" t="s">
        <v>32</v>
      </c>
      <c r="H17" s="8" t="s">
        <v>82</v>
      </c>
      <c r="I17" s="8" t="s">
        <v>60</v>
      </c>
      <c r="J17" s="8">
        <v>10</v>
      </c>
      <c r="K17" s="8" t="s">
        <v>32</v>
      </c>
      <c r="L17" s="8" t="s">
        <v>103</v>
      </c>
      <c r="M17" s="8">
        <v>10</v>
      </c>
      <c r="N17" s="8" t="s">
        <v>32</v>
      </c>
      <c r="O17" s="4" t="s">
        <v>32</v>
      </c>
      <c r="P17" s="8" t="s">
        <v>29</v>
      </c>
      <c r="Q17" s="8" t="s">
        <v>73</v>
      </c>
      <c r="R17" s="8" t="s">
        <v>127</v>
      </c>
      <c r="S17" s="8">
        <v>10</v>
      </c>
      <c r="T17" s="8" t="s">
        <v>73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ht="60" x14ac:dyDescent="0.25">
      <c r="A18" s="8"/>
      <c r="B18" s="8"/>
      <c r="C18" s="8" t="s">
        <v>146</v>
      </c>
      <c r="D18" s="8">
        <v>10</v>
      </c>
      <c r="E18" s="8" t="s">
        <v>60</v>
      </c>
      <c r="F18" s="8" t="s">
        <v>61</v>
      </c>
      <c r="G18" s="8" t="s">
        <v>32</v>
      </c>
      <c r="H18" s="8" t="s">
        <v>81</v>
      </c>
      <c r="I18" s="8" t="s">
        <v>98</v>
      </c>
      <c r="J18" s="8">
        <v>10</v>
      </c>
      <c r="K18" s="8" t="s">
        <v>32</v>
      </c>
      <c r="L18" s="8" t="s">
        <v>32</v>
      </c>
      <c r="M18" s="8">
        <v>10</v>
      </c>
      <c r="N18" s="8" t="s">
        <v>32</v>
      </c>
      <c r="O18" s="4" t="s">
        <v>32</v>
      </c>
      <c r="P18" s="8" t="s">
        <v>29</v>
      </c>
      <c r="Q18" s="8" t="s">
        <v>120</v>
      </c>
      <c r="R18" s="8" t="s">
        <v>127</v>
      </c>
      <c r="S18" s="8">
        <v>10</v>
      </c>
      <c r="T18" s="8" t="s">
        <v>143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ht="75" x14ac:dyDescent="0.25">
      <c r="A19" s="8"/>
      <c r="B19" s="8"/>
      <c r="C19" s="8" t="s">
        <v>157</v>
      </c>
      <c r="D19" s="8">
        <v>10</v>
      </c>
      <c r="E19" s="8" t="s">
        <v>62</v>
      </c>
      <c r="F19" s="8" t="s">
        <v>63</v>
      </c>
      <c r="G19" s="8" t="s">
        <v>32</v>
      </c>
      <c r="H19" s="8" t="s">
        <v>83</v>
      </c>
      <c r="I19" s="8" t="s">
        <v>83</v>
      </c>
      <c r="J19" s="8">
        <v>10</v>
      </c>
      <c r="K19" s="8" t="s">
        <v>32</v>
      </c>
      <c r="L19" s="8" t="s">
        <v>83</v>
      </c>
      <c r="M19" s="8">
        <v>10</v>
      </c>
      <c r="N19" s="8" t="s">
        <v>32</v>
      </c>
      <c r="O19" s="4" t="s">
        <v>32</v>
      </c>
      <c r="P19" s="8" t="s">
        <v>29</v>
      </c>
      <c r="Q19" s="8" t="s">
        <v>123</v>
      </c>
      <c r="R19" s="8" t="s">
        <v>127</v>
      </c>
      <c r="S19" s="8">
        <v>10</v>
      </c>
      <c r="T19" s="8" t="s">
        <v>144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ht="45" x14ac:dyDescent="0.25">
      <c r="A20" s="8"/>
      <c r="B20" s="8"/>
      <c r="C20" s="8" t="s">
        <v>146</v>
      </c>
      <c r="D20" s="8">
        <v>10</v>
      </c>
      <c r="E20" s="8" t="s">
        <v>64</v>
      </c>
      <c r="F20" s="8" t="s">
        <v>65</v>
      </c>
      <c r="G20" s="8" t="s">
        <v>32</v>
      </c>
      <c r="H20" s="8" t="s">
        <v>73</v>
      </c>
      <c r="I20" s="8" t="s">
        <v>73</v>
      </c>
      <c r="J20" s="8">
        <v>9</v>
      </c>
      <c r="K20" s="8" t="s">
        <v>32</v>
      </c>
      <c r="L20" s="8" t="s">
        <v>73</v>
      </c>
      <c r="M20" s="8">
        <v>9</v>
      </c>
      <c r="N20" s="8" t="s">
        <v>32</v>
      </c>
      <c r="O20" s="4" t="s">
        <v>32</v>
      </c>
      <c r="P20" s="8" t="s">
        <v>29</v>
      </c>
      <c r="Q20" s="8" t="s">
        <v>124</v>
      </c>
      <c r="R20" s="8" t="s">
        <v>133</v>
      </c>
      <c r="S20" s="8">
        <v>9</v>
      </c>
      <c r="T20" s="8" t="s">
        <v>73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ht="105" x14ac:dyDescent="0.25">
      <c r="A21" s="8"/>
      <c r="B21" s="8"/>
      <c r="C21" s="8" t="s">
        <v>158</v>
      </c>
      <c r="D21" s="8">
        <v>10</v>
      </c>
      <c r="E21" s="8" t="s">
        <v>66</v>
      </c>
      <c r="F21" s="8" t="s">
        <v>67</v>
      </c>
      <c r="G21" s="8" t="s">
        <v>32</v>
      </c>
      <c r="H21" s="8" t="s">
        <v>84</v>
      </c>
      <c r="I21" s="8" t="s">
        <v>99</v>
      </c>
      <c r="J21" s="8">
        <v>10</v>
      </c>
      <c r="K21" s="8" t="s">
        <v>32</v>
      </c>
      <c r="L21" s="8" t="s">
        <v>111</v>
      </c>
      <c r="M21" s="8">
        <v>10</v>
      </c>
      <c r="N21" s="8" t="s">
        <v>32</v>
      </c>
      <c r="O21" s="4" t="s">
        <v>32</v>
      </c>
      <c r="P21" s="8" t="s">
        <v>29</v>
      </c>
      <c r="Q21" s="8" t="s">
        <v>125</v>
      </c>
      <c r="R21" s="8" t="s">
        <v>127</v>
      </c>
      <c r="S21" s="8">
        <v>10</v>
      </c>
      <c r="T21" s="8" t="s">
        <v>145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1:1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1:1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1:1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1:1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1:1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1:1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1:1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1:1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1:1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 spans="1:1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1:1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 spans="1:1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 spans="1:1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 spans="1:1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 spans="1:1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 spans="1:1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 spans="1:1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 spans="1:1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 spans="1:1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 spans="1:1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 spans="1:1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 spans="1:1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 spans="1:1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 spans="1:1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 spans="1:1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 spans="1:1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 spans="1:1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 spans="1:1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 spans="1:1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 spans="1:1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 spans="1:1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 spans="1:1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 spans="1:1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 spans="1:1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 spans="1:1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 spans="1:1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 spans="1:1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 spans="1:1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 spans="1:1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 spans="1:1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 spans="1:1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 spans="1:1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 spans="1:1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 spans="1:1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 spans="1:1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 spans="1:1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 spans="1:1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 spans="1:1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 spans="1:1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 spans="1:1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 spans="1:1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 spans="1:1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 spans="1:1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 spans="1:1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 spans="1:1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 spans="1:1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 spans="1:1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 spans="1:1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 spans="1:1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 spans="1:1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 spans="1:1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 spans="1:1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 spans="1:1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 spans="1:1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 spans="1:1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 spans="1:1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 spans="1:1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 spans="1:1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 spans="1:1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 spans="1:1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 spans="1:1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1:1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 spans="1:1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 spans="1:1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 spans="1:1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 spans="1:1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 spans="1:1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 spans="1:1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 spans="1:1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 spans="1:1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 spans="1:1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 spans="1:1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 spans="1:1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 spans="1:1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 spans="1:1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 spans="1:1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 spans="1:1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 spans="1:1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 spans="1:1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 spans="1:1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 spans="1:1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 spans="1:1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 spans="1:1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 spans="1:1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 spans="1:1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 spans="1:1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 spans="1:1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 spans="1:1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 spans="1:1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 spans="1:1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 spans="1:1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 spans="1:1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 spans="1:1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 spans="1:1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 spans="1:1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 spans="1:1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 spans="1:1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 spans="1:1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 spans="1:1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 spans="1:1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 spans="1:1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 spans="1:1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 spans="1:1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 spans="1:1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 spans="1:1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 spans="1:1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 spans="1:1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 spans="1:1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 spans="1:1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 spans="1:1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 spans="1:1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 spans="1:1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 spans="1:1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 spans="1:1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 spans="1:1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 spans="1:1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 spans="1:1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 spans="1:1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 spans="1:1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 spans="1:1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 spans="1:1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 spans="1:1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 spans="1:1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 spans="1:1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 spans="1:1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 spans="1:1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 spans="1:1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 spans="1:1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 spans="1:1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 spans="1:1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 spans="1:1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 spans="1:1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 spans="1:1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 spans="1:1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 spans="1:1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 spans="1:1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 spans="1:1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 spans="1:1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 spans="1:1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 spans="1:1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 spans="1:1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 spans="1:1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 spans="1:1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 spans="1:1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 spans="1:1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 spans="1:1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 spans="1:1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 spans="1:1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 spans="1:1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 spans="1:1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 spans="1:1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 spans="1:1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 spans="1:1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 spans="1:1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 spans="1:1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 spans="1:1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 spans="1:1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 spans="1:1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 spans="1:1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 spans="1:1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 spans="1:1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 spans="1:1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 spans="1:1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 spans="1:1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 spans="1:1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 spans="1:10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 spans="1:10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 spans="1:10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 spans="1:10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 spans="1:10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 spans="1:10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 spans="1:10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 spans="1:10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 spans="1:10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 spans="1:10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 spans="1:10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 spans="1:10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 spans="1:10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 spans="1:10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 spans="1:10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 spans="1:10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 spans="1:10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 spans="1:10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 spans="1:10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 spans="1:10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 spans="1:10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 spans="1:10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 spans="1:10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 spans="1:10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 spans="1:10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 spans="1:10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 spans="1:10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 spans="1:10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 spans="1:10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 spans="1:10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 spans="1:10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 spans="1:10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 spans="1:10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 spans="1:10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 spans="1:10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 spans="1:10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 spans="1:10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 spans="1:10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 spans="1:10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 spans="1:10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 spans="1:10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 spans="1:10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 spans="1:10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 spans="1:10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 spans="1:10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 spans="1:10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 spans="1:10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 spans="1:10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 spans="1:10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 spans="1:10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 spans="1:10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 spans="1:10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 spans="1:10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 spans="1:10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 spans="1:10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 spans="1:10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 spans="1:10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 spans="1:10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 spans="1:10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 spans="1:10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 spans="1:10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 spans="1:10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 spans="1:10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 spans="1:10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 spans="1:10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 spans="1:10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 spans="1:10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 spans="1:10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 spans="1:10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 spans="1:10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 spans="1:10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 spans="1:10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 spans="1:10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 spans="1:10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 spans="1:10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 spans="1:10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 spans="1:10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 spans="1:10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 spans="1:10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 spans="1:10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 spans="1:10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 spans="1:10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 spans="1:10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 spans="1:10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 spans="1:10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 spans="1:10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 spans="1:10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 spans="1:10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 spans="1:10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 spans="1:10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 spans="1:10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 spans="1:10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 spans="1:10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 spans="1:10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 spans="1:10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 spans="1:10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 spans="1:10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 spans="1:10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 spans="1:10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 spans="1:10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 spans="1:10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 spans="1:10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 spans="1:10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 spans="1:10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 spans="1:10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 spans="1:10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 spans="1:10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 spans="1:10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 spans="1:10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 spans="1:10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 spans="1:10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 spans="1:10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 spans="1:10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 spans="1:10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 spans="1:10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 spans="1:10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 spans="1:10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 spans="1:10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 spans="1:10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 spans="1:10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 spans="1:10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 spans="1:10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 spans="1:10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 spans="1:10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 spans="1:10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 spans="1:10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 spans="1:10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 spans="1:10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 spans="1:10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 spans="1:10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 spans="1:10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 spans="1:10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 spans="1:10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 spans="1:10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 spans="1:10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 spans="1:10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 spans="1:10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 spans="1:10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 spans="1:10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 spans="1:10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 spans="1:10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 spans="1:10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 spans="1:10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 spans="1:10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 spans="1:10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 spans="1:10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 spans="1:10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 spans="1:10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 spans="1:10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 spans="1:10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 spans="1:10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 spans="1:10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 spans="1:10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 spans="1:10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 spans="1:10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 spans="1:10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 spans="1:10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 spans="1:10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 spans="1:10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 spans="1:10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 spans="1:10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 spans="1:10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 spans="1:10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 spans="1:10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 spans="1:10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 spans="1:10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 spans="1:10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 spans="1:10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 spans="1:10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 spans="1:10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 spans="1:10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 spans="1:10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 spans="1:10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 spans="1:10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 spans="1:10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 spans="1:10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 spans="1:10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 spans="1:10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 spans="1:10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 spans="1:10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 spans="1:10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 spans="1:10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 spans="1:10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 spans="1:10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 spans="1:10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 spans="1:10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 spans="1:10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 spans="1:10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 spans="1:10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 spans="1:10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 spans="1:10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 spans="1:10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 spans="1:10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 spans="1:10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 spans="1:10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 spans="1:10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 spans="1:10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 spans="1:10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 spans="1:10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 spans="1:10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 spans="1:10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 spans="1:10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 spans="1:10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 spans="1:10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 spans="1:10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 spans="1:10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 spans="1:10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 spans="1:10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 spans="1:10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 spans="1:10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 spans="1:10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 spans="1:10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 spans="1:10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 spans="1:10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 spans="1:10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 spans="1:10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 spans="1:10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 spans="1:10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 spans="1:10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 spans="1:10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 spans="1:10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 spans="1:10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 spans="1:10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 spans="1:10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 spans="1:10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 spans="1:10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 spans="1:10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 spans="1:10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 spans="1:10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 spans="1:10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 spans="1:10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 spans="1:10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 spans="1:10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 spans="1:10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 spans="1:10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 spans="1:10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 spans="1:10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 spans="1:10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 spans="1:10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 spans="1:10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 spans="1:10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 spans="1:10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 spans="1:10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 spans="1:10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 spans="1:10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 spans="1:10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 spans="1:10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 spans="1:10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 spans="1:10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 spans="1:10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 spans="1:10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 spans="1:10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 spans="1:10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 spans="1:10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 spans="1:10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 spans="1:10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 spans="1:10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 spans="1:10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 spans="1:10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 spans="1:10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 spans="1:10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 spans="1:10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 spans="1:10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 spans="1:10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 spans="1:10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 spans="1:10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 spans="1:10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 spans="1:10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 spans="1:10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 spans="1:10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 spans="1:10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 spans="1:10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 spans="1:10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 spans="1:10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 spans="1:10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 spans="1:10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 spans="1:10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 spans="1:10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 spans="1:10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 spans="1:10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 spans="1:10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 spans="1:10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 spans="1:10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 spans="1:10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 spans="1:10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 spans="1:10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 spans="1:10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 spans="1:10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 spans="1:10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 spans="1:10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 spans="1:10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 spans="1:10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 spans="1:10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 spans="1:10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 spans="1:10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 spans="1:10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 spans="1:10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 spans="1:10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 spans="1:10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 spans="1:10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 spans="1:10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 spans="1:10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 spans="1:10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 spans="1:10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 spans="1:10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 spans="1:10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 spans="1:10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 spans="1:10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 spans="1:10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 spans="1:10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 spans="1:10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 spans="1:10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 spans="1:10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 spans="1:10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 spans="1:10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 spans="1:10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 spans="1:10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 spans="1:10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 spans="1:10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 spans="1:10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 spans="1:10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 spans="1:10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 spans="1:10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 spans="1:10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 spans="1:10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 spans="1:10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 spans="1:10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 spans="1:10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 spans="1:10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 spans="1:10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 spans="1:10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 spans="1:10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 spans="1:100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 spans="1:100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 spans="1:100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 spans="1:100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 spans="1:100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 spans="1:100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 spans="1:100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 spans="1:100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 spans="1:100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 spans="1:100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 spans="1:100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 spans="1:100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 spans="1:100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 spans="1:100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 spans="1:100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 spans="1:100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 spans="1:100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 spans="1:100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 spans="1:100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 spans="1:100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 spans="1:100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 spans="1:100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 spans="1:100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 spans="1:100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 spans="1:100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 spans="1:100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 spans="1:100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 spans="1:100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 spans="1:100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 spans="1:100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 spans="1:100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 spans="1:100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 spans="1:100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 spans="1:100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 spans="1:100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 spans="1:100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 spans="1:100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 spans="1:100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 spans="1:100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 spans="1:100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 spans="1:100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 spans="1:100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 spans="1:100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 spans="1:100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 spans="1:100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 spans="1:100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 spans="1:100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 spans="1:100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 spans="1:100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 spans="1:100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 spans="1:100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 spans="1:100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 spans="1:100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 spans="1:100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 spans="1:100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 spans="1:100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 spans="1:100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 spans="1:100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 spans="1:100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 spans="1:100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 spans="1:100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 spans="1:100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 spans="1:100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 spans="1:100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 spans="1:100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 spans="1:100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 spans="1:100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 spans="1:100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 spans="1:100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 spans="1:100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 spans="1:100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 spans="1:100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 spans="1:100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 spans="1:100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 spans="1:100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 spans="1:100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 spans="1:100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 spans="1:100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 spans="1:100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 spans="1:100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 spans="1:100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 spans="1:100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 spans="1:100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 spans="1:100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 spans="1:100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 spans="1:100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 spans="1:100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 spans="1:100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 spans="1:100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 spans="1:100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 spans="1:100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 spans="1:100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 spans="1:100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 spans="1:100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 spans="1:100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 spans="1:100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 spans="1:100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 spans="1:100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 spans="1:100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 spans="1:100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 spans="1:100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 spans="1:100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 spans="1:100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 spans="1:100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 spans="1:100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 spans="1:100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 spans="1:100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 spans="1:100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 spans="1:100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 spans="1:100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 spans="1:100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 spans="1:100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 spans="1:100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 spans="1:100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 spans="1:100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 spans="1:100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 spans="1:100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 spans="1:100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 spans="1:100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 spans="1:100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 spans="1:100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 spans="1:100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 spans="1:100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 spans="1:100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 spans="1:100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 spans="1:100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 spans="1:100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 spans="1:100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 spans="1:100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 spans="1:100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 spans="1:100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 spans="1:100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 spans="1:100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 spans="1:100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 spans="1:100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 spans="1:100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 spans="1:100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 spans="1:100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 spans="1:100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 spans="1:100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 spans="1:100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 spans="1:100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 spans="1:100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 spans="1:100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 spans="1:100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 spans="1:100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 spans="1:100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 spans="1:100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 spans="1:100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 spans="1:100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 spans="1:100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 spans="1:100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 spans="1:100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 spans="1:100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 spans="1:100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 spans="1:100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 spans="1:100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 spans="1:100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 spans="1:100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 spans="1:100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 spans="1:100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 spans="1:100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 spans="1:100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 spans="1:100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 spans="1:100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 spans="1:100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 spans="1:100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 spans="1:100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 spans="1:100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 spans="1:100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 spans="1:100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 spans="1:100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 spans="1:100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 spans="1:100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 spans="1:100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 spans="1:100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 spans="1:100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 spans="1:100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 spans="1:100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 spans="1:100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 spans="1:100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 spans="1:100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 spans="1:100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 spans="1:100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 spans="1:100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 spans="1:100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 spans="1:100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 spans="1:100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 spans="1:100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 spans="1:100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 spans="1:100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 spans="1:100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 spans="1:100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 spans="1:100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 spans="1:100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 spans="1:100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 spans="1:100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 spans="1:100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 spans="1:100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 spans="1:100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 spans="1:100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 spans="1:100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 spans="1:100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 spans="1:100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 spans="1:100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 spans="1:100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 spans="1:100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 spans="1:100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 spans="1:100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 spans="1:100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 spans="1:100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 spans="1:100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 spans="1:100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 spans="1:100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 spans="1:100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 spans="1:100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 spans="1:100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 spans="1:100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 spans="1:100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 spans="1:100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 spans="1:100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 spans="1:100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 spans="1:100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 spans="1:100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 spans="1:100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 spans="1:100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 spans="1:100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 spans="1:100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 spans="1:100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 spans="1:100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 spans="1:100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 spans="1:100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 spans="1:100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 spans="1:100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 spans="1:100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 spans="1:100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 spans="1:100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 spans="1:100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 spans="1:100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 spans="1:100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 spans="1:100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 spans="1:100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 spans="1:100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 spans="1:100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 spans="1:100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 spans="1:100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 spans="1:100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 spans="1:100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 spans="1:100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 spans="1:100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 spans="1:100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 spans="1:100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 spans="1:100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 spans="1:100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 spans="1:100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 spans="1:100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 spans="1:100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 spans="1:100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 spans="1:100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 spans="1:100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 spans="1:100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 spans="1:100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 spans="1:100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 spans="1:100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 spans="1:100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 spans="1:100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 spans="1:100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 spans="1:100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 spans="1:100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 spans="1:100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 spans="1:100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 spans="1:100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 spans="1:100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 spans="1:100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 spans="1:100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 spans="1:100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 spans="1:100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 spans="1:100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 spans="1:100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 spans="1:100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 spans="1:100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 spans="1:100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 spans="1:100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 spans="1:100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 spans="1:100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 spans="1:100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 spans="1:100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 spans="1:100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 spans="1:100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 spans="1:100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 spans="1:100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 spans="1:100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 spans="1:100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 spans="1:100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 spans="1:100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 spans="1:100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 spans="1:100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 spans="1:100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 spans="1:100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 spans="1:100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 spans="1:100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 spans="1:100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 spans="1:100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 spans="1:100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 spans="1:100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 spans="1:100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 spans="1:100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 spans="1:100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 spans="1:100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 spans="1:100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 spans="1:100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 spans="1:100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 spans="1:100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 spans="1:100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 spans="1:100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 spans="1:100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 spans="1:100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 spans="1:100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 spans="1:100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 spans="1:100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 spans="1:100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 spans="1:100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 spans="1:100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 spans="1:100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 spans="1:100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 spans="1:100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 spans="1:100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 spans="1:100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 spans="1:100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 spans="1:100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D19" sqref="D19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2" t="s">
        <v>6</v>
      </c>
      <c r="C2" s="12"/>
      <c r="D2" s="12"/>
      <c r="E2" s="12"/>
      <c r="F2" s="12"/>
      <c r="G2" s="12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4">
        <f>AVERAGE('Исходные данные (итог. анкета)'!D:D)</f>
        <v>9.75</v>
      </c>
      <c r="C4" s="10">
        <f>AVERAGE('Исходные данные (итог. анкета)'!J:J)</f>
        <v>9.4</v>
      </c>
      <c r="D4" s="4">
        <f>AVERAGE('Исходные данные (итог. анкета)'!M:M)</f>
        <v>9.75</v>
      </c>
      <c r="E4" s="7">
        <f>COUNTIF('Исходные данные (итог. анкета)'!P:P,"нет")/COUNTA('Исходные данные (итог. анкета)'!P2:P500)</f>
        <v>0.9</v>
      </c>
      <c r="F4" s="10">
        <f>AVERAGE('Исходные данные (итог. анкета)'!S:S)</f>
        <v>9.9499999999999993</v>
      </c>
      <c r="G4" s="10">
        <f>AVERAGE(B4:D4,F4)</f>
        <v>9.7124999999999986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2026-07-01T09:39:48Z</dcterms:modified>
</cp:coreProperties>
</file>