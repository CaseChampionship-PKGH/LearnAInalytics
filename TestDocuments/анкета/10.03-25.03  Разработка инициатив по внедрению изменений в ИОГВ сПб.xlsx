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<sst xmlns="http://schemas.openxmlformats.org/spreadsheetml/2006/main" count="293" uniqueCount="121">
  <si>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</si>
  <si>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</si>
  <si>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</si>
  <si>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</si>
  <si>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</si>
  <si>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</si>
  <si>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</si>
  <si>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</si>
  <si>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</si>
  <si>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</si>
  <si>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</si>
  <si>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</si>
  <si>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</si>
  <si>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</si>
  <si>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</si>
  <si>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</si>
  <si>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</si>
  <si>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</si>
  <si>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</si>
  <si>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</si>
  <si>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</si>
  <si>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</si>
  <si>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</si>
  <si>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</si>
  <si>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</si>
  <si>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</si>
  <si>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</si>
  <si>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</si>
  <si>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</si>
  <si>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</si>
  <si>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</si>
  <si>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</si>
  <si>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</si>
  <si>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</si>
  <si>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-</t>
  </si>
  <si>
    <t>да</t>
  </si>
  <si>
    <t>нет</t>
  </si>
  <si>
    <t>Таких нет</t>
  </si>
  <si>
    <t>очное обучение в аудиториях Корпоративного университета</t>
  </si>
  <si>
    <t>все</t>
  </si>
  <si>
    <t>затрудняюсь ответить</t>
  </si>
  <si>
    <t>специалист</t>
  </si>
  <si>
    <t>Актуальность и насущность темы</t>
  </si>
  <si>
    <t>Для систематизации имеющихся знаний, а также получения новых практических инструментов для повышения эффективности моей текущей деятельности. Программа была интересна своей актуальной повесткой.</t>
  </si>
  <si>
    <t>обеспечивающий специалист</t>
  </si>
  <si>
    <t>В рамках получения новых знаний</t>
  </si>
  <si>
    <t>По совету коллег</t>
  </si>
  <si>
    <t>Актуальная тема</t>
  </si>
  <si>
    <t>Показалась интересной тема</t>
  </si>
  <si>
    <t>направлен отделом кадров</t>
  </si>
  <si>
    <t>Программа охватывает большое количество информации, возможность повышения в должности в будущем</t>
  </si>
  <si>
    <t>Был интересный набор рассматриваемых тем</t>
  </si>
  <si>
    <t>Мне откликнулась тема обучения на пробном видеосеминаре Андрея Юрьевича Лякина</t>
  </si>
  <si>
    <t>Интересен вопрос внедрения инициатив. А так же на работе разрабатываем проект по внедрению. Было интересно проработать его с специалистами.</t>
  </si>
  <si>
    <t>Направил руководитель с целью развития проектов в системе профессионального образования</t>
  </si>
  <si>
    <t>Личная заинтересованность</t>
  </si>
  <si>
    <t>Блок по аргументации при публичном выступлении</t>
  </si>
  <si>
    <t>Наиболее актуальными были практические кейсы по применению новых методик в условиях ограниченных ресурсов. Эти вопросы напрямую связаны с моими ежедневными задачами и позволили посмотреть на привычные процессы под другим углом.</t>
  </si>
  <si>
    <t>Планирую применять полученные алгоритмы анализа данных, техники тайм-менеджмента и инструменты командного взаимодействия. Также очень пригодились навыки структурирования больших объемов информации.</t>
  </si>
  <si>
    <t>На мой взгляд, все темы были логично взаимосвязаны. Если и есть что-то для исключения, разве что теоретический блок по истории вопроса (вводную лекцию), но и она давала хороший общий контекст.</t>
  </si>
  <si>
    <t>Можно добавить больше материалов по работе с возражениями и конфликтными ситуациями, а также расширить блок по современным цифровым инструментам для автоматизации рутинных процессов.</t>
  </si>
  <si>
    <t>Все рассматриваемые вопросы были полезны</t>
  </si>
  <si>
    <t>Все полученные новые знания</t>
  </si>
  <si>
    <t>Каждая тема полезна по - своему</t>
  </si>
  <si>
    <t>Программа актуальна</t>
  </si>
  <si>
    <t>.</t>
  </si>
  <si>
    <t>Анализ данных, публичные выступления, ПауэрПоинт и др.</t>
  </si>
  <si>
    <t>Анализ данных.</t>
  </si>
  <si>
    <t>Финансовые и статистические обоснования проектов.</t>
  </si>
  <si>
    <t>Как оптимизировать работу в своем подразделении</t>
  </si>
  <si>
    <t>Навыки ораторского мастерства, уменьшение зажатости при выступлениях</t>
  </si>
  <si>
    <t>Методы не очень подходят под специфику процессов в моем подразделении</t>
  </si>
  <si>
    <t>Добавить больше риск-менеджмента, работы в условиях неопределенности. Также хотелось бы рассмотреть варианты применения методов, о которых рассказывалось в обучении, в специфических условиях работы - например, в области конгрессно-выставочной деятельности, когда могут меняться даты, сроки зависят от технического задания (непонятно, как можно сократить сроки и оптимизировать процессы, не нарушая НПА и сроки по ТЗ)</t>
  </si>
  <si>
    <t>Риск менеджмент - из-за актуальности в нашей работе</t>
  </si>
  <si>
    <t>Мозговой штурм, искусственный интеллект, навыки выступления на публике</t>
  </si>
  <si>
    <t>использование ИИ, подготовка презентаций</t>
  </si>
  <si>
    <t>моделирование БМПЛ</t>
  </si>
  <si>
    <t>не знаю</t>
  </si>
  <si>
    <t>Программа полезна не только с точки зрения управления изменениями, что очень актуально на госслужбе, но и с точки зрения развития личности в целом. Представленные подходы к осмыслению нововведений подходят и к анализу жизни в целом. Был полезен опыт управления командой, где вскрылись слабы места, появилась возможность их проработать, проиграть сценарии взаимодействия, разрешения конфликтных ситуаций с позиции управления процессом, появился новый взгляд на взаимодействие с коллегами, местами понятнее та или иная позиция руководства.</t>
  </si>
  <si>
    <t>Системный анализ.Анализ и ранее был применим к выполнению моих служебных обязанностей, курс сформирован таким образом, чтобы уложить все во едино и показать общую картину. Помог во многом разобраться.</t>
  </si>
  <si>
    <t>Курс дает исчерпывающий перечень информации и практических занятий, главное успевать совмещать с работой, вовремя вникать в суть и адаптировать к служебной деятельности.</t>
  </si>
  <si>
    <t>В целом курс интересен. Очень понравились лекции по ИИ. И проработка рисков была очень актуальна.</t>
  </si>
  <si>
    <t>Процентов 80 программы обучения</t>
  </si>
  <si>
    <t>в этом нет необходимости.</t>
  </si>
  <si>
    <t>предложений нет.</t>
  </si>
  <si>
    <t>Наиболее актуальным оказалось использование технических средств для создания наглядных материалов из стат данных, схем и презентаций.</t>
  </si>
  <si>
    <t>умение использовать программы для создания наглядных материалов из стат данных, схем и презентаций</t>
  </si>
  <si>
    <t>Оформление проекта</t>
  </si>
  <si>
    <t>Взаимодействие с колллегами</t>
  </si>
  <si>
    <t>Оставить все</t>
  </si>
  <si>
    <t>Практическими занятиями</t>
  </si>
  <si>
    <t>Отрисовка схемы bpmn желательно проводить в очном формате - при удаленном обучении не всегда есть возможность и доступ к ПК.</t>
  </si>
  <si>
    <t>Больше очных</t>
  </si>
  <si>
    <t>В период больших перерывов и длительных заочных занятий</t>
  </si>
  <si>
    <t>Больше практических занятий очно</t>
  </si>
  <si>
    <t>Хотелось бы чуть больше времени уделить групповым разборам конкретных ошибок участников, а не только общим идеальным кейсам. Но в целом формат был очень удобным.</t>
  </si>
  <si>
    <t>Обучение и так прошло на высоком уровне вовлеченности. Возможно, для еще большего эффекта можно было бы добавить короткие интерактивные опросы в середине длинных лекций.</t>
  </si>
  <si>
    <t>Без изменений</t>
  </si>
  <si>
    <t>Актуальность рассматриваемых материалов</t>
  </si>
  <si>
    <t>смешанное обучение: частично очно, частично дистанционно</t>
  </si>
  <si>
    <t>Больше взаимозависимой работы в команде.</t>
  </si>
  <si>
    <t>Рейтингование по вовлеченности и его пороговые значения.</t>
  </si>
  <si>
    <t>Больше времени на проработку презентаций, более подробный рассказ, что в ней должно быть</t>
  </si>
  <si>
    <t>Больше очных занятий, так как ввиду сегодняшней обстановки связи иногда подводила</t>
  </si>
  <si>
    <t>освещение вопрос инициатив в культуре</t>
  </si>
  <si>
    <t>больше вечерних курсов</t>
  </si>
  <si>
    <t>Все и так прекрасно</t>
  </si>
  <si>
    <t>Вовлеченность и так была высокая, откликнулись все темы и  способ подачи информации</t>
  </si>
  <si>
    <t>Отрыв от работы)</t>
  </si>
  <si>
    <t>Примеры из реальной практики ИОГВ, а не предприятий реального сектора экономики</t>
  </si>
  <si>
    <t>Меньшая загрузка на работе</t>
  </si>
  <si>
    <t>Обучение с отрывом от работы</t>
  </si>
  <si>
    <t>Материалы преподавателей с занятий предоставлялись частично, хотя почти все преподаватели обещали скинуть</t>
  </si>
  <si>
    <t>Организаторы всегда были на связи, оперативно решали все технические вопросы, предоставляли качественные раздаточные материалы и поддерживали позитивную атмосферу. Чувствовалась искренняя заинтересованность в том, чтобы мы усвоили материал. Спасибо за профессионализм!</t>
  </si>
  <si>
    <t>Преподаватели - высокие профессионалы, чуткие, позитивные, нацеленные на высокие результаты. Куратор - опытный организатор, внимательный и ответственный ангел!</t>
  </si>
  <si>
    <t>Спасибо большое нашему куратору Анастасии - она всегда сразу приходила на помощь и подсказывала</t>
  </si>
  <si>
    <t>Замечательная обратная связь и помощь</t>
  </si>
  <si>
    <t>Высокий уровень вовлеченности преподавателей, так и методиста Анастасии, которая помогала всегда и во всем, оперативно координировала, давала информацию и помогала с материалами.</t>
  </si>
  <si>
    <t>Всегда на связи. Всегда получал обратную связь по всем своим вопросам</t>
  </si>
  <si>
    <t>Очень много практики, прекрасная программа! Организаторы искренне вовлечены в процесс создания каждого проекта!</t>
  </si>
  <si>
    <t>Нет комментариев. Все на высоте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</si>
</sst>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6"/>
  <sheetViews>
    <sheetView tabSelected="1" workbookViewId="0">
      <selection activeCell="A2" sqref="A2:B14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05" x14ac:dyDescent="0.25">
      <c r="A2" s="1"/>
      <c r="B2" s="1"/>
      <c r="C2" s="1" t="s">
        <v>41</v>
      </c>
      <c r="D2" s="1" t="s">
        <v>42</v>
      </c>
      <c r="E2" s="9">
        <v>8</v>
      </c>
      <c r="F2" s="1" t="s">
        <v>39</v>
      </c>
      <c r="G2" s="1" t="s">
        <v>39</v>
      </c>
      <c r="H2" s="1" t="s">
        <v>35</v>
      </c>
      <c r="I2" s="1" t="s">
        <v>34</v>
      </c>
      <c r="J2" s="1" t="s">
        <v>34</v>
      </c>
      <c r="K2" s="1" t="s">
        <v>56</v>
      </c>
      <c r="L2" s="9">
        <v>5</v>
      </c>
      <c r="M2" s="1" t="s">
        <v>36</v>
      </c>
      <c r="N2" s="1" t="s">
        <v>91</v>
      </c>
      <c r="O2" s="1" t="s">
        <v>92</v>
      </c>
      <c r="P2" s="10">
        <v>8</v>
      </c>
      <c r="Q2" s="1" t="s">
        <v>35</v>
      </c>
      <c r="R2" s="1" t="s">
        <v>34</v>
      </c>
      <c r="S2" s="1" t="s">
        <v>35</v>
      </c>
      <c r="T2" s="1" t="s">
        <v>34</v>
      </c>
      <c r="U2" s="1" t="s">
        <v>35</v>
      </c>
      <c r="V2" s="1" t="s">
        <v>93</v>
      </c>
      <c r="W2" s="1" t="s">
        <v>94</v>
      </c>
      <c r="X2" s="1" t="s">
        <v>38</v>
      </c>
      <c r="Y2" s="9">
        <v>9</v>
      </c>
      <c r="Z2" s="1" t="s">
        <v>112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240" x14ac:dyDescent="0.25">
      <c r="A3" s="1"/>
      <c r="B3" s="1"/>
      <c r="C3" s="1" t="s">
        <v>41</v>
      </c>
      <c r="D3" s="1" t="s">
        <v>43</v>
      </c>
      <c r="E3" s="9">
        <v>10</v>
      </c>
      <c r="F3" s="1" t="s">
        <v>57</v>
      </c>
      <c r="G3" s="1" t="s">
        <v>58</v>
      </c>
      <c r="H3" s="1" t="s">
        <v>35</v>
      </c>
      <c r="I3" s="1" t="s">
        <v>34</v>
      </c>
      <c r="J3" s="1" t="s">
        <v>59</v>
      </c>
      <c r="K3" s="1" t="s">
        <v>60</v>
      </c>
      <c r="L3" s="9">
        <v>9</v>
      </c>
      <c r="M3" s="1" t="s">
        <v>35</v>
      </c>
      <c r="N3" s="1" t="s">
        <v>34</v>
      </c>
      <c r="O3" s="1" t="s">
        <v>95</v>
      </c>
      <c r="P3" s="10">
        <v>10</v>
      </c>
      <c r="Q3" s="1" t="s">
        <v>35</v>
      </c>
      <c r="R3" s="1" t="s">
        <v>34</v>
      </c>
      <c r="S3" s="1" t="s">
        <v>35</v>
      </c>
      <c r="T3" s="1" t="s">
        <v>34</v>
      </c>
      <c r="U3" s="1" t="s">
        <v>36</v>
      </c>
      <c r="V3" s="1" t="s">
        <v>34</v>
      </c>
      <c r="W3" s="1" t="s">
        <v>96</v>
      </c>
      <c r="X3" s="1" t="s">
        <v>38</v>
      </c>
      <c r="Y3" s="9">
        <v>10</v>
      </c>
      <c r="Z3" s="1" t="s">
        <v>113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 x14ac:dyDescent="0.25">
      <c r="A4" s="1"/>
      <c r="B4" s="1"/>
      <c r="C4" s="1" t="s">
        <v>44</v>
      </c>
      <c r="D4" s="1" t="s">
        <v>45</v>
      </c>
      <c r="E4" s="9">
        <v>10</v>
      </c>
      <c r="F4" s="1" t="s">
        <v>61</v>
      </c>
      <c r="G4" s="1" t="s">
        <v>62</v>
      </c>
      <c r="H4" s="1" t="s">
        <v>35</v>
      </c>
      <c r="I4" s="1" t="s">
        <v>34</v>
      </c>
      <c r="J4" s="1" t="s">
        <v>63</v>
      </c>
      <c r="K4" s="1" t="s">
        <v>64</v>
      </c>
      <c r="L4" s="9">
        <v>9</v>
      </c>
      <c r="M4" s="1" t="s">
        <v>35</v>
      </c>
      <c r="N4" s="1" t="s">
        <v>34</v>
      </c>
      <c r="O4" s="1" t="s">
        <v>97</v>
      </c>
      <c r="P4" s="10">
        <v>9</v>
      </c>
      <c r="Q4" s="1" t="s">
        <v>35</v>
      </c>
      <c r="R4" s="1" t="s">
        <v>34</v>
      </c>
      <c r="S4" s="1" t="s">
        <v>35</v>
      </c>
      <c r="T4" s="1" t="s">
        <v>34</v>
      </c>
      <c r="U4" s="1" t="s">
        <v>36</v>
      </c>
      <c r="V4" s="1" t="s">
        <v>34</v>
      </c>
      <c r="W4" s="1" t="s">
        <v>98</v>
      </c>
      <c r="X4" s="1" t="s">
        <v>99</v>
      </c>
      <c r="Y4" s="9">
        <v>10</v>
      </c>
      <c r="Z4" s="1" t="s">
        <v>34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45" x14ac:dyDescent="0.25">
      <c r="A5" s="1"/>
      <c r="B5" s="1"/>
      <c r="C5" s="1" t="s">
        <v>33</v>
      </c>
      <c r="D5" s="1" t="s">
        <v>46</v>
      </c>
      <c r="E5" s="9">
        <v>8</v>
      </c>
      <c r="F5" s="1" t="s">
        <v>65</v>
      </c>
      <c r="G5" s="1" t="s">
        <v>65</v>
      </c>
      <c r="H5" s="1" t="s">
        <v>35</v>
      </c>
      <c r="I5" s="1" t="s">
        <v>65</v>
      </c>
      <c r="J5" s="1" t="s">
        <v>65</v>
      </c>
      <c r="K5" s="1" t="s">
        <v>65</v>
      </c>
      <c r="L5" s="9">
        <v>9</v>
      </c>
      <c r="M5" s="1" t="s">
        <v>35</v>
      </c>
      <c r="N5" s="1" t="s">
        <v>65</v>
      </c>
      <c r="O5" s="1" t="s">
        <v>65</v>
      </c>
      <c r="P5" s="10">
        <v>10</v>
      </c>
      <c r="Q5" s="1" t="s">
        <v>35</v>
      </c>
      <c r="R5" s="1" t="s">
        <v>65</v>
      </c>
      <c r="S5" s="1" t="s">
        <v>35</v>
      </c>
      <c r="T5" s="1" t="s">
        <v>65</v>
      </c>
      <c r="U5" s="1" t="s">
        <v>35</v>
      </c>
      <c r="V5" s="1" t="s">
        <v>65</v>
      </c>
      <c r="W5" s="1" t="s">
        <v>65</v>
      </c>
      <c r="X5" s="1" t="s">
        <v>99</v>
      </c>
      <c r="Y5" s="9">
        <v>9</v>
      </c>
      <c r="Z5" s="1" t="s">
        <v>65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35" x14ac:dyDescent="0.25">
      <c r="A6" s="1"/>
      <c r="B6" s="1"/>
      <c r="C6" s="1" t="s">
        <v>41</v>
      </c>
      <c r="D6" s="1" t="s">
        <v>47</v>
      </c>
      <c r="E6" s="9">
        <v>8</v>
      </c>
      <c r="F6" s="1" t="s">
        <v>66</v>
      </c>
      <c r="G6" s="1" t="s">
        <v>67</v>
      </c>
      <c r="H6" s="1" t="s">
        <v>35</v>
      </c>
      <c r="I6" s="1" t="s">
        <v>34</v>
      </c>
      <c r="J6" s="1" t="s">
        <v>36</v>
      </c>
      <c r="K6" s="1" t="s">
        <v>68</v>
      </c>
      <c r="L6" s="9">
        <v>9</v>
      </c>
      <c r="M6" s="1" t="s">
        <v>35</v>
      </c>
      <c r="N6" s="1" t="s">
        <v>34</v>
      </c>
      <c r="O6" s="1" t="s">
        <v>100</v>
      </c>
      <c r="P6" s="10">
        <v>10</v>
      </c>
      <c r="Q6" s="1" t="s">
        <v>35</v>
      </c>
      <c r="R6" s="1" t="s">
        <v>34</v>
      </c>
      <c r="S6" s="1" t="s">
        <v>35</v>
      </c>
      <c r="T6" s="1" t="s">
        <v>34</v>
      </c>
      <c r="U6" s="1" t="s">
        <v>36</v>
      </c>
      <c r="V6" s="1" t="s">
        <v>34</v>
      </c>
      <c r="W6" s="1" t="s">
        <v>101</v>
      </c>
      <c r="X6" s="1" t="s">
        <v>99</v>
      </c>
      <c r="Y6" s="9">
        <v>10</v>
      </c>
      <c r="Z6" s="1" t="s">
        <v>114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315" x14ac:dyDescent="0.25">
      <c r="A7" s="1"/>
      <c r="B7" s="1"/>
      <c r="C7" s="1" t="s">
        <v>41</v>
      </c>
      <c r="D7" s="1" t="s">
        <v>48</v>
      </c>
      <c r="E7" s="9">
        <v>6</v>
      </c>
      <c r="F7" s="1" t="s">
        <v>69</v>
      </c>
      <c r="G7" s="1" t="s">
        <v>70</v>
      </c>
      <c r="H7" s="1" t="s">
        <v>36</v>
      </c>
      <c r="I7" s="1" t="s">
        <v>71</v>
      </c>
      <c r="J7" s="1" t="s">
        <v>34</v>
      </c>
      <c r="K7" s="1" t="s">
        <v>72</v>
      </c>
      <c r="L7" s="9">
        <v>7</v>
      </c>
      <c r="M7" s="1" t="s">
        <v>35</v>
      </c>
      <c r="N7" s="1" t="s">
        <v>34</v>
      </c>
      <c r="O7" s="1" t="s">
        <v>102</v>
      </c>
      <c r="P7" s="10">
        <v>5</v>
      </c>
      <c r="Q7" s="1" t="s">
        <v>35</v>
      </c>
      <c r="R7" s="1" t="s">
        <v>34</v>
      </c>
      <c r="S7" s="1" t="s">
        <v>35</v>
      </c>
      <c r="T7" s="1" t="s">
        <v>34</v>
      </c>
      <c r="U7" s="1" t="s">
        <v>36</v>
      </c>
      <c r="V7" s="1" t="s">
        <v>34</v>
      </c>
      <c r="W7" s="1" t="s">
        <v>34</v>
      </c>
      <c r="X7" s="1" t="s">
        <v>38</v>
      </c>
      <c r="Y7" s="9">
        <v>9</v>
      </c>
      <c r="Z7" s="1" t="s">
        <v>34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 x14ac:dyDescent="0.25">
      <c r="A8" s="1"/>
      <c r="B8" s="1"/>
      <c r="C8" s="1" t="s">
        <v>41</v>
      </c>
      <c r="D8" s="1" t="s">
        <v>49</v>
      </c>
      <c r="E8" s="9">
        <v>10</v>
      </c>
      <c r="F8" s="1" t="s">
        <v>40</v>
      </c>
      <c r="G8" s="1" t="s">
        <v>40</v>
      </c>
      <c r="H8" s="1" t="s">
        <v>35</v>
      </c>
      <c r="I8" s="1" t="s">
        <v>40</v>
      </c>
      <c r="J8" s="1" t="s">
        <v>40</v>
      </c>
      <c r="K8" s="1" t="s">
        <v>40</v>
      </c>
      <c r="L8" s="9">
        <v>10</v>
      </c>
      <c r="M8" s="1" t="s">
        <v>35</v>
      </c>
      <c r="N8" s="1" t="s">
        <v>40</v>
      </c>
      <c r="O8" s="1" t="s">
        <v>40</v>
      </c>
      <c r="P8" s="10">
        <v>10</v>
      </c>
      <c r="Q8" s="1" t="s">
        <v>35</v>
      </c>
      <c r="R8" s="1" t="s">
        <v>40</v>
      </c>
      <c r="S8" s="1" t="s">
        <v>35</v>
      </c>
      <c r="T8" s="1" t="s">
        <v>40</v>
      </c>
      <c r="U8" s="1" t="s">
        <v>35</v>
      </c>
      <c r="V8" s="1" t="s">
        <v>40</v>
      </c>
      <c r="W8" s="1" t="s">
        <v>40</v>
      </c>
      <c r="X8" s="1" t="s">
        <v>99</v>
      </c>
      <c r="Y8" s="9">
        <v>10</v>
      </c>
      <c r="Z8" s="1" t="s">
        <v>40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105" x14ac:dyDescent="0.25">
      <c r="A9" s="1"/>
      <c r="B9" s="1"/>
      <c r="C9" s="1" t="s">
        <v>41</v>
      </c>
      <c r="D9" s="1" t="s">
        <v>50</v>
      </c>
      <c r="E9" s="9">
        <v>10</v>
      </c>
      <c r="F9" s="1" t="s">
        <v>73</v>
      </c>
      <c r="G9" s="1" t="s">
        <v>74</v>
      </c>
      <c r="H9" s="1" t="s">
        <v>35</v>
      </c>
      <c r="I9" s="1" t="s">
        <v>34</v>
      </c>
      <c r="J9" s="1" t="s">
        <v>34</v>
      </c>
      <c r="K9" s="1" t="s">
        <v>34</v>
      </c>
      <c r="L9" s="9">
        <v>10</v>
      </c>
      <c r="M9" s="1" t="s">
        <v>35</v>
      </c>
      <c r="N9" s="1" t="s">
        <v>34</v>
      </c>
      <c r="O9" s="1" t="s">
        <v>34</v>
      </c>
      <c r="P9" s="10">
        <v>10</v>
      </c>
      <c r="Q9" s="1" t="s">
        <v>35</v>
      </c>
      <c r="R9" s="1" t="s">
        <v>34</v>
      </c>
      <c r="S9" s="1" t="s">
        <v>35</v>
      </c>
      <c r="T9" s="1" t="s">
        <v>34</v>
      </c>
      <c r="U9" s="1" t="s">
        <v>36</v>
      </c>
      <c r="V9" s="1" t="s">
        <v>34</v>
      </c>
      <c r="W9" s="1" t="s">
        <v>103</v>
      </c>
      <c r="X9" s="1" t="s">
        <v>99</v>
      </c>
      <c r="Y9" s="9">
        <v>10</v>
      </c>
      <c r="Z9" s="1" t="s">
        <v>115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45" x14ac:dyDescent="0.25">
      <c r="A10" s="1"/>
      <c r="B10" s="1"/>
      <c r="C10" s="1" t="s">
        <v>41</v>
      </c>
      <c r="D10" s="1" t="s">
        <v>51</v>
      </c>
      <c r="E10" s="9">
        <v>5</v>
      </c>
      <c r="F10" s="1" t="s">
        <v>75</v>
      </c>
      <c r="G10" s="1" t="s">
        <v>75</v>
      </c>
      <c r="H10" s="1" t="s">
        <v>35</v>
      </c>
      <c r="I10" s="1" t="s">
        <v>34</v>
      </c>
      <c r="J10" s="1" t="s">
        <v>76</v>
      </c>
      <c r="K10" s="1" t="s">
        <v>77</v>
      </c>
      <c r="L10" s="9">
        <v>7</v>
      </c>
      <c r="M10" s="1" t="s">
        <v>35</v>
      </c>
      <c r="N10" s="1" t="s">
        <v>34</v>
      </c>
      <c r="O10" s="1" t="s">
        <v>104</v>
      </c>
      <c r="P10" s="10">
        <v>9</v>
      </c>
      <c r="Q10" s="1" t="s">
        <v>35</v>
      </c>
      <c r="R10" s="1" t="s">
        <v>34</v>
      </c>
      <c r="S10" s="1" t="s">
        <v>35</v>
      </c>
      <c r="T10" s="1" t="s">
        <v>34</v>
      </c>
      <c r="U10" s="1" t="s">
        <v>36</v>
      </c>
      <c r="V10" s="1" t="s">
        <v>34</v>
      </c>
      <c r="W10" s="1" t="s">
        <v>105</v>
      </c>
      <c r="X10" s="1" t="s">
        <v>99</v>
      </c>
      <c r="Y10" s="9">
        <v>10</v>
      </c>
      <c r="Z10" s="1" t="s">
        <v>116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360" x14ac:dyDescent="0.25">
      <c r="A11" s="1"/>
      <c r="B11" s="1"/>
      <c r="C11" s="1" t="s">
        <v>41</v>
      </c>
      <c r="D11" s="1" t="s">
        <v>52</v>
      </c>
      <c r="E11" s="9">
        <v>10</v>
      </c>
      <c r="F11" s="1" t="s">
        <v>78</v>
      </c>
      <c r="G11" s="1" t="s">
        <v>79</v>
      </c>
      <c r="H11" s="1" t="s">
        <v>35</v>
      </c>
      <c r="I11" s="1" t="s">
        <v>34</v>
      </c>
      <c r="J11" s="1" t="s">
        <v>34</v>
      </c>
      <c r="K11" s="1" t="s">
        <v>80</v>
      </c>
      <c r="L11" s="9">
        <v>10</v>
      </c>
      <c r="M11" s="1" t="s">
        <v>35</v>
      </c>
      <c r="N11" s="1" t="s">
        <v>34</v>
      </c>
      <c r="O11" s="1" t="s">
        <v>106</v>
      </c>
      <c r="P11" s="10">
        <v>10</v>
      </c>
      <c r="Q11" s="1" t="s">
        <v>35</v>
      </c>
      <c r="R11" s="1" t="s">
        <v>34</v>
      </c>
      <c r="S11" s="1" t="s">
        <v>35</v>
      </c>
      <c r="T11" s="1" t="s">
        <v>34</v>
      </c>
      <c r="U11" s="1" t="s">
        <v>36</v>
      </c>
      <c r="V11" s="1" t="s">
        <v>34</v>
      </c>
      <c r="W11" s="1" t="s">
        <v>107</v>
      </c>
      <c r="X11" s="1" t="s">
        <v>99</v>
      </c>
      <c r="Y11" s="9">
        <v>10</v>
      </c>
      <c r="Z11" s="1" t="s">
        <v>117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150" x14ac:dyDescent="0.25">
      <c r="A12" s="1"/>
      <c r="B12" s="1"/>
      <c r="C12" s="1" t="s">
        <v>41</v>
      </c>
      <c r="D12" s="1" t="s">
        <v>53</v>
      </c>
      <c r="E12" s="9">
        <v>9</v>
      </c>
      <c r="F12" s="1" t="s">
        <v>81</v>
      </c>
      <c r="G12" s="1" t="s">
        <v>82</v>
      </c>
      <c r="H12" s="1" t="s">
        <v>35</v>
      </c>
      <c r="I12" s="1" t="s">
        <v>34</v>
      </c>
      <c r="J12" s="1" t="s">
        <v>83</v>
      </c>
      <c r="K12" s="1" t="s">
        <v>84</v>
      </c>
      <c r="L12" s="9">
        <v>10</v>
      </c>
      <c r="M12" s="1" t="s">
        <v>35</v>
      </c>
      <c r="N12" s="1" t="s">
        <v>34</v>
      </c>
      <c r="O12" s="1" t="s">
        <v>34</v>
      </c>
      <c r="P12" s="10">
        <v>9</v>
      </c>
      <c r="Q12" s="1" t="s">
        <v>35</v>
      </c>
      <c r="R12" s="1" t="s">
        <v>34</v>
      </c>
      <c r="S12" s="1" t="s">
        <v>35</v>
      </c>
      <c r="T12" s="1" t="s">
        <v>34</v>
      </c>
      <c r="U12" s="1" t="s">
        <v>36</v>
      </c>
      <c r="V12" s="1" t="s">
        <v>34</v>
      </c>
      <c r="W12" s="1" t="s">
        <v>108</v>
      </c>
      <c r="X12" s="1" t="s">
        <v>99</v>
      </c>
      <c r="Y12" s="9">
        <v>10</v>
      </c>
      <c r="Z12" s="1" t="s">
        <v>118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90" x14ac:dyDescent="0.25">
      <c r="A13" s="1"/>
      <c r="B13" s="1"/>
      <c r="C13" s="1" t="s">
        <v>44</v>
      </c>
      <c r="D13" s="1" t="s">
        <v>54</v>
      </c>
      <c r="E13" s="9">
        <v>10</v>
      </c>
      <c r="F13" s="1" t="s">
        <v>85</v>
      </c>
      <c r="G13" s="1" t="s">
        <v>86</v>
      </c>
      <c r="H13" s="1" t="s">
        <v>35</v>
      </c>
      <c r="I13" s="1" t="s">
        <v>34</v>
      </c>
      <c r="J13" s="1" t="s">
        <v>37</v>
      </c>
      <c r="K13" s="1" t="s">
        <v>34</v>
      </c>
      <c r="L13" s="9">
        <v>10</v>
      </c>
      <c r="M13" s="1" t="s">
        <v>35</v>
      </c>
      <c r="N13" s="1" t="s">
        <v>34</v>
      </c>
      <c r="O13" s="1" t="s">
        <v>109</v>
      </c>
      <c r="P13" s="10">
        <v>10</v>
      </c>
      <c r="Q13" s="1" t="s">
        <v>35</v>
      </c>
      <c r="R13" s="1" t="s">
        <v>34</v>
      </c>
      <c r="S13" s="1" t="s">
        <v>35</v>
      </c>
      <c r="T13" s="1" t="s">
        <v>34</v>
      </c>
      <c r="U13" s="1" t="s">
        <v>36</v>
      </c>
      <c r="V13" s="1" t="s">
        <v>34</v>
      </c>
      <c r="W13" s="1" t="s">
        <v>110</v>
      </c>
      <c r="X13" s="1" t="s">
        <v>38</v>
      </c>
      <c r="Y13" s="9">
        <v>10</v>
      </c>
      <c r="Z13" s="1" t="s">
        <v>119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1"/>
      <c r="B14" s="1"/>
      <c r="C14" s="1" t="s">
        <v>33</v>
      </c>
      <c r="D14" s="1" t="s">
        <v>55</v>
      </c>
      <c r="E14" s="9">
        <v>8</v>
      </c>
      <c r="F14" s="1" t="s">
        <v>87</v>
      </c>
      <c r="G14" s="1" t="s">
        <v>88</v>
      </c>
      <c r="H14" s="1" t="s">
        <v>35</v>
      </c>
      <c r="I14" s="1" t="s">
        <v>34</v>
      </c>
      <c r="J14" s="1" t="s">
        <v>89</v>
      </c>
      <c r="K14" s="1" t="s">
        <v>90</v>
      </c>
      <c r="L14" s="9">
        <v>8</v>
      </c>
      <c r="M14" s="1" t="s">
        <v>35</v>
      </c>
      <c r="N14" s="1" t="s">
        <v>34</v>
      </c>
      <c r="O14" s="1" t="s">
        <v>111</v>
      </c>
      <c r="P14" s="10">
        <v>8</v>
      </c>
      <c r="Q14" s="1" t="s">
        <v>35</v>
      </c>
      <c r="R14" s="1" t="s">
        <v>34</v>
      </c>
      <c r="S14" s="1" t="s">
        <v>35</v>
      </c>
      <c r="T14" s="1" t="s">
        <v>34</v>
      </c>
      <c r="U14" s="1" t="s">
        <v>36</v>
      </c>
      <c r="V14" s="1" t="s">
        <v>34</v>
      </c>
      <c r="W14" s="1" t="s">
        <v>111</v>
      </c>
      <c r="X14" s="1" t="s">
        <v>38</v>
      </c>
      <c r="Y14" s="9">
        <v>10</v>
      </c>
      <c r="Z14" s="1" t="s">
        <v>120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25">
      <c r="A15" s="1"/>
      <c r="B15" s="1"/>
      <c r="C15" s="1"/>
      <c r="D15" s="1"/>
      <c r="E15" s="9"/>
      <c r="F15" s="1"/>
      <c r="G15" s="1"/>
      <c r="H15" s="1"/>
      <c r="I15" s="1"/>
      <c r="J15" s="1"/>
      <c r="K15" s="1"/>
      <c r="L15" s="9"/>
      <c r="M15" s="1"/>
      <c r="N15" s="1"/>
      <c r="O15" s="1"/>
      <c r="P15" s="9"/>
      <c r="Q15" s="1"/>
      <c r="R15" s="1"/>
      <c r="S15" s="1"/>
      <c r="T15" s="1"/>
      <c r="U15" s="1"/>
      <c r="V15" s="1"/>
      <c r="W15" s="1"/>
      <c r="X15" s="1"/>
      <c r="Y15" s="9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1"/>
      <c r="B16" s="1"/>
      <c r="C16" s="1"/>
      <c r="D16" s="1"/>
      <c r="E16" s="9"/>
      <c r="F16" s="1"/>
      <c r="G16" s="1"/>
      <c r="H16" s="1"/>
      <c r="I16" s="1"/>
      <c r="J16" s="1"/>
      <c r="K16" s="1"/>
      <c r="L16" s="9"/>
      <c r="M16" s="1"/>
      <c r="N16" s="1"/>
      <c r="O16" s="1"/>
      <c r="P16" s="9"/>
      <c r="Q16" s="1"/>
      <c r="R16" s="1"/>
      <c r="S16" s="1"/>
      <c r="T16" s="1"/>
      <c r="U16" s="1"/>
      <c r="V16" s="1"/>
      <c r="W16" s="1"/>
      <c r="X16" s="1"/>
      <c r="Y16" s="9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1"/>
      <c r="B17" s="1"/>
      <c r="C17" s="1"/>
      <c r="D17" s="1"/>
      <c r="E17" s="9"/>
      <c r="F17" s="1"/>
      <c r="G17" s="1"/>
      <c r="H17" s="1"/>
      <c r="I17" s="1"/>
      <c r="J17" s="1"/>
      <c r="K17" s="1"/>
      <c r="L17" s="9"/>
      <c r="M17" s="1"/>
      <c r="N17" s="1"/>
      <c r="O17" s="1"/>
      <c r="P17" s="9"/>
      <c r="Q17" s="1"/>
      <c r="R17" s="1"/>
      <c r="S17" s="1"/>
      <c r="T17" s="1"/>
      <c r="U17" s="1"/>
      <c r="V17" s="1"/>
      <c r="W17" s="1"/>
      <c r="X17" s="1"/>
      <c r="Y17" s="9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1"/>
      <c r="B18" s="1"/>
      <c r="C18" s="1"/>
      <c r="D18" s="1"/>
      <c r="E18" s="9"/>
      <c r="F18" s="1"/>
      <c r="G18" s="1"/>
      <c r="H18" s="1"/>
      <c r="I18" s="1"/>
      <c r="J18" s="1"/>
      <c r="K18" s="1"/>
      <c r="L18" s="9"/>
      <c r="M18" s="1"/>
      <c r="N18" s="1"/>
      <c r="O18" s="1"/>
      <c r="P18" s="9"/>
      <c r="Q18" s="1"/>
      <c r="R18" s="1"/>
      <c r="S18" s="1"/>
      <c r="T18" s="1"/>
      <c r="U18" s="1"/>
      <c r="V18" s="1"/>
      <c r="W18" s="1"/>
      <c r="X18" s="1"/>
      <c r="Y18" s="9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E19" s="9"/>
      <c r="F19" s="1"/>
      <c r="G19" s="1"/>
      <c r="H19" s="1"/>
      <c r="I19" s="1"/>
      <c r="J19" s="1"/>
      <c r="K19" s="1"/>
      <c r="L19" s="9"/>
      <c r="M19" s="1"/>
      <c r="N19" s="1"/>
      <c r="O19" s="1"/>
      <c r="P19" s="9"/>
      <c r="Q19" s="1"/>
      <c r="R19" s="1"/>
      <c r="S19" s="1"/>
      <c r="T19" s="1"/>
      <c r="U19" s="1"/>
      <c r="V19" s="1"/>
      <c r="W19" s="1"/>
      <c r="X19" s="1"/>
      <c r="Y19" s="9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E20" s="9"/>
      <c r="F20" s="1"/>
      <c r="G20" s="1"/>
      <c r="H20" s="1"/>
      <c r="I20" s="1"/>
      <c r="J20" s="1"/>
      <c r="K20" s="1"/>
      <c r="L20" s="9"/>
      <c r="M20" s="1"/>
      <c r="N20" s="1"/>
      <c r="O20" s="1"/>
      <c r="P20" s="9"/>
      <c r="Q20" s="1"/>
      <c r="R20" s="1"/>
      <c r="S20" s="1"/>
      <c r="T20" s="1"/>
      <c r="U20" s="1"/>
      <c r="V20" s="1"/>
      <c r="W20" s="1"/>
      <c r="X20" s="1"/>
      <c r="Y20" s="9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E21" s="9"/>
      <c r="F21" s="1"/>
      <c r="G21" s="1"/>
      <c r="H21" s="1"/>
      <c r="I21" s="1"/>
      <c r="J21" s="1"/>
      <c r="K21" s="1"/>
      <c r="L21" s="9"/>
      <c r="M21" s="1"/>
      <c r="N21" s="1"/>
      <c r="O21" s="1"/>
      <c r="P21" s="9"/>
      <c r="Q21" s="1"/>
      <c r="R21" s="1"/>
      <c r="S21" s="1"/>
      <c r="T21" s="1"/>
      <c r="U21" s="1"/>
      <c r="V21" s="1"/>
      <c r="W21" s="1"/>
      <c r="X21" s="1"/>
      <c r="Y21" s="9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E22" s="9"/>
      <c r="F22" s="1"/>
      <c r="G22" s="1"/>
      <c r="H22" s="1"/>
      <c r="I22" s="1"/>
      <c r="J22" s="1"/>
      <c r="K22" s="1"/>
      <c r="L22" s="9"/>
      <c r="M22" s="1"/>
      <c r="N22" s="1"/>
      <c r="O22" s="1"/>
      <c r="P22" s="9"/>
      <c r="Q22" s="1"/>
      <c r="R22" s="1"/>
      <c r="S22" s="1"/>
      <c r="T22" s="1"/>
      <c r="U22" s="1"/>
      <c r="V22" s="1"/>
      <c r="W22" s="1"/>
      <c r="X22" s="1"/>
      <c r="Y22" s="9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E23" s="9"/>
      <c r="F23" s="1"/>
      <c r="G23" s="1"/>
      <c r="H23" s="1"/>
      <c r="I23" s="1"/>
      <c r="J23" s="1"/>
      <c r="K23" s="1"/>
      <c r="L23" s="9"/>
      <c r="M23" s="1"/>
      <c r="N23" s="1"/>
      <c r="O23" s="1"/>
      <c r="P23" s="9"/>
      <c r="Q23" s="1"/>
      <c r="R23" s="1"/>
      <c r="S23" s="1"/>
      <c r="T23" s="1"/>
      <c r="U23" s="1"/>
      <c r="V23" s="1"/>
      <c r="W23" s="1"/>
      <c r="X23" s="1"/>
      <c r="Y23" s="9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E24" s="9"/>
      <c r="F24" s="1"/>
      <c r="G24" s="1"/>
      <c r="H24" s="1"/>
      <c r="I24" s="1"/>
      <c r="J24" s="1"/>
      <c r="K24" s="1"/>
      <c r="L24" s="9"/>
      <c r="M24" s="1"/>
      <c r="N24" s="1"/>
      <c r="O24" s="1"/>
      <c r="P24" s="9"/>
      <c r="Q24" s="1"/>
      <c r="R24" s="1"/>
      <c r="S24" s="1"/>
      <c r="T24" s="1"/>
      <c r="U24" s="1"/>
      <c r="V24" s="1"/>
      <c r="W24" s="1"/>
      <c r="X24" s="1"/>
      <c r="Y24" s="9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E25" s="9"/>
      <c r="F25" s="1"/>
      <c r="G25" s="1"/>
      <c r="H25" s="1"/>
      <c r="I25" s="1"/>
      <c r="J25" s="1"/>
      <c r="K25" s="1"/>
      <c r="L25" s="9"/>
      <c r="M25" s="1"/>
      <c r="N25" s="1"/>
      <c r="O25" s="1"/>
      <c r="P25" s="9"/>
      <c r="Q25" s="1"/>
      <c r="R25" s="1"/>
      <c r="S25" s="1"/>
      <c r="T25" s="1"/>
      <c r="U25" s="1"/>
      <c r="V25" s="1"/>
      <c r="W25" s="1"/>
      <c r="X25" s="1"/>
      <c r="Y25" s="9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E26" s="9"/>
      <c r="F26" s="1"/>
      <c r="G26" s="1"/>
      <c r="H26" s="1"/>
      <c r="I26" s="1"/>
      <c r="J26" s="1"/>
      <c r="K26" s="1"/>
      <c r="L26" s="9"/>
      <c r="M26" s="1"/>
      <c r="N26" s="1"/>
      <c r="O26" s="1"/>
      <c r="P26" s="9"/>
      <c r="Q26" s="1"/>
      <c r="R26" s="1"/>
      <c r="S26" s="1"/>
      <c r="T26" s="1"/>
      <c r="U26" s="1"/>
      <c r="V26" s="1"/>
      <c r="W26" s="1"/>
      <c r="X26" s="1"/>
      <c r="Y26" s="9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E27" s="9"/>
      <c r="F27" s="1"/>
      <c r="G27" s="1"/>
      <c r="H27" s="1"/>
      <c r="I27" s="1"/>
      <c r="J27" s="1"/>
      <c r="K27" s="1"/>
      <c r="L27" s="9"/>
      <c r="M27" s="1"/>
      <c r="N27" s="1"/>
      <c r="O27" s="1"/>
      <c r="P27" s="9"/>
      <c r="Q27" s="1"/>
      <c r="R27" s="1"/>
      <c r="S27" s="1"/>
      <c r="T27" s="1"/>
      <c r="U27" s="1"/>
      <c r="V27" s="1"/>
      <c r="W27" s="1"/>
      <c r="X27" s="1"/>
      <c r="Y27" s="9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E28" s="9"/>
      <c r="F28" s="1"/>
      <c r="G28" s="1"/>
      <c r="H28" s="1"/>
      <c r="I28" s="1"/>
      <c r="J28" s="1"/>
      <c r="K28" s="1"/>
      <c r="L28" s="9"/>
      <c r="M28" s="1"/>
      <c r="N28" s="1"/>
      <c r="O28" s="1"/>
      <c r="P28" s="9"/>
      <c r="Q28" s="1"/>
      <c r="R28" s="1"/>
      <c r="S28" s="1"/>
      <c r="T28" s="1"/>
      <c r="U28" s="1"/>
      <c r="V28" s="1"/>
      <c r="W28" s="1"/>
      <c r="X28" s="1"/>
      <c r="Y28" s="9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E29" s="9"/>
      <c r="F29" s="1"/>
      <c r="G29" s="1"/>
      <c r="H29" s="1"/>
      <c r="I29" s="1"/>
      <c r="J29" s="1"/>
      <c r="K29" s="1"/>
      <c r="L29" s="9"/>
      <c r="M29" s="1"/>
      <c r="N29" s="1"/>
      <c r="O29" s="1"/>
      <c r="P29" s="9"/>
      <c r="Q29" s="1"/>
      <c r="R29" s="1"/>
      <c r="S29" s="1"/>
      <c r="T29" s="1"/>
      <c r="U29" s="1"/>
      <c r="V29" s="1"/>
      <c r="W29" s="1"/>
      <c r="X29" s="1"/>
      <c r="Y29" s="9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E30" s="9"/>
      <c r="F30" s="1"/>
      <c r="G30" s="1"/>
      <c r="H30" s="1"/>
      <c r="I30" s="1"/>
      <c r="J30" s="1"/>
      <c r="K30" s="1"/>
      <c r="L30" s="9"/>
      <c r="M30" s="1"/>
      <c r="N30" s="1"/>
      <c r="O30" s="1"/>
      <c r="P30" s="9"/>
      <c r="Q30" s="1"/>
      <c r="R30" s="1"/>
      <c r="S30" s="1"/>
      <c r="T30" s="1"/>
      <c r="U30" s="1"/>
      <c r="V30" s="1"/>
      <c r="W30" s="1"/>
      <c r="X30" s="1"/>
      <c r="Y30" s="9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E31" s="9"/>
      <c r="F31" s="1"/>
      <c r="G31" s="1"/>
      <c r="H31" s="1"/>
      <c r="I31" s="1"/>
      <c r="J31" s="1"/>
      <c r="K31" s="1"/>
      <c r="L31" s="9"/>
      <c r="M31" s="1"/>
      <c r="N31" s="1"/>
      <c r="O31" s="1"/>
      <c r="P31" s="9"/>
      <c r="Q31" s="1"/>
      <c r="R31" s="1"/>
      <c r="S31" s="1"/>
      <c r="T31" s="1"/>
      <c r="U31" s="1"/>
      <c r="V31" s="1"/>
      <c r="W31" s="1"/>
      <c r="X31" s="1"/>
      <c r="Y31" s="9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E32" s="9"/>
      <c r="F32" s="1"/>
      <c r="G32" s="1"/>
      <c r="H32" s="1"/>
      <c r="I32" s="1"/>
      <c r="J32" s="1"/>
      <c r="K32" s="1"/>
      <c r="L32" s="9"/>
      <c r="M32" s="1"/>
      <c r="N32" s="1"/>
      <c r="O32" s="1"/>
      <c r="P32" s="9"/>
      <c r="Q32" s="1"/>
      <c r="R32" s="1"/>
      <c r="S32" s="1"/>
      <c r="T32" s="1"/>
      <c r="U32" s="1"/>
      <c r="V32" s="1"/>
      <c r="W32" s="1"/>
      <c r="X32" s="1"/>
      <c r="Y32" s="9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E33" s="9"/>
      <c r="F33" s="1"/>
      <c r="G33" s="1"/>
      <c r="H33" s="1"/>
      <c r="I33" s="1"/>
      <c r="J33" s="1"/>
      <c r="K33" s="1"/>
      <c r="L33" s="9"/>
      <c r="M33" s="1"/>
      <c r="N33" s="1"/>
      <c r="O33" s="1"/>
      <c r="P33" s="9"/>
      <c r="Q33" s="1"/>
      <c r="R33" s="1"/>
      <c r="S33" s="1"/>
      <c r="T33" s="1"/>
      <c r="U33" s="1"/>
      <c r="V33" s="1"/>
      <c r="W33" s="1"/>
      <c r="X33" s="1"/>
      <c r="Y33" s="9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E34" s="9"/>
      <c r="F34" s="1"/>
      <c r="G34" s="1"/>
      <c r="H34" s="1"/>
      <c r="I34" s="1"/>
      <c r="J34" s="1"/>
      <c r="K34" s="1"/>
      <c r="L34" s="9"/>
      <c r="M34" s="1"/>
      <c r="N34" s="1"/>
      <c r="O34" s="1"/>
      <c r="P34" s="9"/>
      <c r="Q34" s="1"/>
      <c r="R34" s="1"/>
      <c r="S34" s="1"/>
      <c r="T34" s="1"/>
      <c r="U34" s="1"/>
      <c r="V34" s="1"/>
      <c r="W34" s="1"/>
      <c r="X34" s="1"/>
      <c r="Y34" s="9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E35" s="9"/>
      <c r="F35" s="1"/>
      <c r="G35" s="1"/>
      <c r="H35" s="1"/>
      <c r="I35" s="1"/>
      <c r="J35" s="1"/>
      <c r="K35" s="1"/>
      <c r="L35" s="9"/>
      <c r="M35" s="1"/>
      <c r="N35" s="1"/>
      <c r="O35" s="1"/>
      <c r="P35" s="9"/>
      <c r="Q35" s="1"/>
      <c r="R35" s="1"/>
      <c r="S35" s="1"/>
      <c r="T35" s="1"/>
      <c r="U35" s="1"/>
      <c r="V35" s="1"/>
      <c r="W35" s="1"/>
      <c r="X35" s="1"/>
      <c r="Y35" s="9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E36" s="9"/>
      <c r="F36" s="1"/>
      <c r="G36" s="1"/>
      <c r="H36" s="1"/>
      <c r="I36" s="1"/>
      <c r="J36" s="1"/>
      <c r="K36" s="1"/>
      <c r="L36" s="9"/>
      <c r="M36" s="1"/>
      <c r="N36" s="1"/>
      <c r="O36" s="1"/>
      <c r="P36" s="9"/>
      <c r="Q36" s="1"/>
      <c r="R36" s="1"/>
      <c r="S36" s="1"/>
      <c r="T36" s="1"/>
      <c r="U36" s="1"/>
      <c r="V36" s="1"/>
      <c r="W36" s="1"/>
      <c r="X36" s="1"/>
      <c r="Y36" s="9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E37" s="9"/>
      <c r="F37" s="1"/>
      <c r="G37" s="1"/>
      <c r="H37" s="1"/>
      <c r="I37" s="1"/>
      <c r="J37" s="1"/>
      <c r="K37" s="1"/>
      <c r="L37" s="9"/>
      <c r="M37" s="1"/>
      <c r="N37" s="1"/>
      <c r="O37" s="1"/>
      <c r="P37" s="9"/>
      <c r="Q37" s="1"/>
      <c r="R37" s="1"/>
      <c r="S37" s="1"/>
      <c r="T37" s="1"/>
      <c r="U37" s="1"/>
      <c r="V37" s="1"/>
      <c r="W37" s="1"/>
      <c r="X37" s="1"/>
      <c r="Y37" s="9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9"/>
      <c r="F38" s="1"/>
      <c r="G38" s="1"/>
      <c r="H38" s="1"/>
      <c r="I38" s="1"/>
      <c r="J38" s="1"/>
      <c r="K38" s="1"/>
      <c r="L38" s="9"/>
      <c r="M38" s="1"/>
      <c r="N38" s="1"/>
      <c r="O38" s="1"/>
      <c r="P38" s="9"/>
      <c r="Q38" s="1"/>
      <c r="R38" s="1"/>
      <c r="S38" s="1"/>
      <c r="T38" s="1"/>
      <c r="U38" s="1"/>
      <c r="V38" s="1"/>
      <c r="W38" s="1"/>
      <c r="X38" s="1"/>
      <c r="Y38" s="9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9"/>
      <c r="F39" s="1"/>
      <c r="G39" s="1"/>
      <c r="H39" s="1"/>
      <c r="I39" s="1"/>
      <c r="J39" s="1"/>
      <c r="K39" s="1"/>
      <c r="L39" s="9"/>
      <c r="M39" s="1"/>
      <c r="N39" s="1"/>
      <c r="O39" s="1"/>
      <c r="P39" s="9"/>
      <c r="Q39" s="1"/>
      <c r="R39" s="1"/>
      <c r="S39" s="1"/>
      <c r="T39" s="1"/>
      <c r="U39" s="1"/>
      <c r="V39" s="1"/>
      <c r="W39" s="1"/>
      <c r="X39" s="1"/>
      <c r="Y39" s="9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</sheetData>
  <autoFilter ref="A1:Z3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16" sqref="F16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8.615384615384615</v>
      </c>
      <c r="C4" s="8">
        <f>AVERAGE('Исходные данные (итог. анкета)'!L:L)</f>
        <v>8.6923076923076916</v>
      </c>
      <c r="D4" s="8">
        <f>AVERAGE('Исходные данные (итог. анкета)'!P:P)</f>
        <v>9.0769230769230766</v>
      </c>
      <c r="E4" s="7">
        <f>COUNTIF('Исходные данные (итог. анкета)'!U:U,"нет")/COUNTA('Исходные данные (итог. анкета)'!U2:U498)</f>
        <v>0.76923076923076927</v>
      </c>
      <c r="F4" s="8">
        <f>AVERAGE('Исходные данные (итог. анкета)'!Y:Y)</f>
        <v>9.7692307692307701</v>
      </c>
      <c r="G4" s="4">
        <f>AVERAGE(B4:D4,F4)</f>
        <v>9.0384615384615383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2026-07-01T09:43:53Z</dcterms:modified>
</cp:coreProperties>
</file>