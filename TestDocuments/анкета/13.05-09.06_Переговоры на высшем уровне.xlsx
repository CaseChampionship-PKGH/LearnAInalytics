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<sst xmlns="http://schemas.openxmlformats.org/spreadsheetml/2006/main" count="233" uniqueCount="101">
  <si>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</si>
  <si>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</si>
  <si>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</si>
  <si>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</si>
  <si>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</si>
  <si>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</si>
  <si>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</si>
  <si>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</si>
  <si>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</si>
  <si>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</si>
  <si>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</si>
  <si>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</si>
  <si>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</si>
  <si>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</si>
  <si>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</si>
  <si>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</si>
  <si>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</si>
  <si>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</si>
  <si>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</si>
  <si>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</si>
  <si>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</si>
  <si>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</si>
  <si>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</si>
  <si>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</si>
  <si>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</si>
  <si>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</si>
  <si>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</si>
  <si>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</si>
  <si>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</si>
  <si>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</si>
  <si>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</si>
  <si>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</si>
  <si>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</si>
  <si>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</si>
  <si>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Содержание программы позволяет улучшить навыки общения, которые используются в профессиональной деятельности</t>
  </si>
  <si>
    <t>Все вопросы были актуальны. Подготовка к переговорам, методы ухода от неудобных вопросов, управление конфликтными ситуациями, аргументация. Все темы курса были интересны.</t>
  </si>
  <si>
    <t>Навыки управления конфликтами в переговорах, подготовка к переговорам, успешная аргументация, презентация своих инициатив, навыки достижения компромисса</t>
  </si>
  <si>
    <t>да</t>
  </si>
  <si>
    <t>-</t>
  </si>
  <si>
    <t>Никакие. Всё было очень интересно</t>
  </si>
  <si>
    <t>нет</t>
  </si>
  <si>
    <t>очное обучение в аудиториях Корпоративного университета</t>
  </si>
  <si>
    <t>Мне всё понравилось</t>
  </si>
  <si>
    <t>получение дополнительных компетенций</t>
  </si>
  <si>
    <t>деловой этикет, работа в командах и отработка сюжетов</t>
  </si>
  <si>
    <t>практически все</t>
  </si>
  <si>
    <t>считаю программу полной</t>
  </si>
  <si>
    <t>пока не решил. все было полезно и эффективно</t>
  </si>
  <si>
    <t>желание улучшить качество коммуникации</t>
  </si>
  <si>
    <t>все доступно и просто</t>
  </si>
  <si>
    <t>советник (помощник)</t>
  </si>
  <si>
    <t>Служебная необходимость</t>
  </si>
  <si>
    <t>Стрессоустойчивость при переговорах. Работа в команде.</t>
  </si>
  <si>
    <t>Техники переговоров</t>
  </si>
  <si>
    <t>смешанное обучение: частично очно, частично дистанционно</t>
  </si>
  <si>
    <t>Все очень понравилось. Спасибо!</t>
  </si>
  <si>
    <t>курс показался интересным и полезным</t>
  </si>
  <si>
    <t>Вопросы манипуляций при ведении переговоров, эмоциональное  давление и умение избегать влияния из вне</t>
  </si>
  <si>
    <t>все полезно и применимо на практике</t>
  </si>
  <si>
    <t>прекрасный преподаватель!!!</t>
  </si>
  <si>
    <t>всегда актуальные темы и прекрасные препрдаватели</t>
  </si>
  <si>
    <t>Заинтересовал данный курс. Полезен переговорный опыт.</t>
  </si>
  <si>
    <t>Переговоры и их ведение</t>
  </si>
  <si>
    <t>Весь опыт будет полезен</t>
  </si>
  <si>
    <t>Качественный курс</t>
  </si>
  <si>
    <t>Никакие</t>
  </si>
  <si>
    <t>Этикетом и протоколом</t>
  </si>
  <si>
    <t>Протокол и этикет, увеличив их количество</t>
  </si>
  <si>
    <t>Увеличить еще количество занятий</t>
  </si>
  <si>
    <t>Все прошло очень эффективно</t>
  </si>
  <si>
    <t>Замечаний нет</t>
  </si>
  <si>
    <t>Сложностей не возникало</t>
  </si>
  <si>
    <t>Командная игра</t>
  </si>
  <si>
    <t>Буду рекомендовать данный курс</t>
  </si>
  <si>
    <t>Повышение уровня знаний и их качества</t>
  </si>
  <si>
    <t>Умение вести переговоры</t>
  </si>
  <si>
    <t>Все</t>
  </si>
  <si>
    <t>Все актуально</t>
  </si>
  <si>
    <t>Уровень обратной связи отличный</t>
  </si>
  <si>
    <t>В целях получения новых навыков по техникам ведения переговоров для  использования в работе (улучшения ее результатов) и в частной жизни</t>
  </si>
  <si>
    <t>Техники противостояния манипуляциям, т.к. этому нигде не учат и это периодически является слабым звеном в работе</t>
  </si>
  <si>
    <t>Структуру убедительной речи, структуру аргументов, техники работы с гневом</t>
  </si>
  <si>
    <t>техники общения с подчиненными (роль родитель - ребенок или взрослый взрослый)</t>
  </si>
  <si>
    <t>небольшая отстраненность была во время онлайн-занятия, т.к. не было полноценной обратной связи аудитории и преподавателя. (т.е. хочешь задать вопрос, нажал кнопку, а в это время твой коллега начал задавать вопрос, думая, что ни у кого вопросов нет, когда договорили, время занятия истекло)</t>
  </si>
  <si>
    <t>я была и так максимально вовлечена</t>
  </si>
  <si>
    <t>была дана вся исчерпывающая информация на возникающие вопросы по программе, при этом оперативно</t>
  </si>
  <si>
    <t>переговоры и достижение намеченной цели одна из задач в моей работе</t>
  </si>
  <si>
    <t>все темы были актуальны</t>
  </si>
  <si>
    <t>Было очень полезно</t>
  </si>
  <si>
    <t>Чтобы повысить свои навыки по ведению переговоров как на уровне руководителей так и внутри команды</t>
  </si>
  <si>
    <t>Работа в ситуации когда возрастает градус общения...</t>
  </si>
  <si>
    <t>Анализ роли второй стороны в переговора и способы ему противопоставления</t>
  </si>
  <si>
    <t>Все вопросы решались быстро и компетентно</t>
  </si>
  <si>
    <t>интересен новый опыт</t>
  </si>
  <si>
    <t>управление гневом</t>
  </si>
  <si>
    <t>конкретизация цели, использование стратегий, новые навыки</t>
  </si>
  <si>
    <t>100!</t>
  </si>
  <si>
    <t>нет таких</t>
  </si>
  <si>
    <t>затрудняюсь ответить</t>
  </si>
  <si>
    <t>вовлеченность состоаила 100 баллов</t>
  </si>
  <si>
    <t>все удобно и комфортно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</si>
</sst>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11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20" x14ac:dyDescent="0.25">
      <c r="A2" s="9"/>
      <c r="B2" s="10"/>
      <c r="C2" s="10" t="s">
        <v>33</v>
      </c>
      <c r="D2" s="10" t="s">
        <v>34</v>
      </c>
      <c r="E2" s="4">
        <v>10</v>
      </c>
      <c r="F2" s="10" t="s">
        <v>35</v>
      </c>
      <c r="G2" s="10" t="s">
        <v>36</v>
      </c>
      <c r="H2" s="10" t="s">
        <v>37</v>
      </c>
      <c r="I2" s="10" t="s">
        <v>38</v>
      </c>
      <c r="J2" s="10" t="s">
        <v>39</v>
      </c>
      <c r="K2" s="10" t="s">
        <v>38</v>
      </c>
      <c r="L2" s="4">
        <v>10</v>
      </c>
      <c r="M2" s="10" t="s">
        <v>37</v>
      </c>
      <c r="N2" s="10" t="s">
        <v>38</v>
      </c>
      <c r="O2" s="10" t="s">
        <v>38</v>
      </c>
      <c r="P2" s="4">
        <v>10</v>
      </c>
      <c r="Q2" s="10" t="s">
        <v>37</v>
      </c>
      <c r="R2" s="10" t="s">
        <v>38</v>
      </c>
      <c r="S2" s="10" t="s">
        <v>37</v>
      </c>
      <c r="T2" s="10" t="s">
        <v>38</v>
      </c>
      <c r="U2" s="10" t="s">
        <v>40</v>
      </c>
      <c r="V2" s="10" t="s">
        <v>38</v>
      </c>
      <c r="W2" s="10" t="s">
        <v>38</v>
      </c>
      <c r="X2" s="10" t="s">
        <v>41</v>
      </c>
      <c r="Y2" s="4">
        <v>10</v>
      </c>
      <c r="Z2" s="10" t="s">
        <v>42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9"/>
      <c r="B3" s="10"/>
      <c r="C3" s="10" t="s">
        <v>33</v>
      </c>
      <c r="D3" s="10" t="s">
        <v>43</v>
      </c>
      <c r="E3" s="4">
        <v>10</v>
      </c>
      <c r="F3" s="10" t="s">
        <v>44</v>
      </c>
      <c r="G3" s="10" t="s">
        <v>45</v>
      </c>
      <c r="H3" s="10" t="s">
        <v>37</v>
      </c>
      <c r="I3" s="10" t="s">
        <v>38</v>
      </c>
      <c r="J3" s="10" t="s">
        <v>46</v>
      </c>
      <c r="K3" s="10" t="s">
        <v>38</v>
      </c>
      <c r="L3" s="4">
        <v>10</v>
      </c>
      <c r="M3" s="10" t="s">
        <v>37</v>
      </c>
      <c r="N3" s="10" t="s">
        <v>38</v>
      </c>
      <c r="O3" s="10" t="s">
        <v>47</v>
      </c>
      <c r="P3" s="4">
        <v>10</v>
      </c>
      <c r="Q3" s="10" t="s">
        <v>37</v>
      </c>
      <c r="R3" s="10" t="s">
        <v>38</v>
      </c>
      <c r="S3" s="10" t="s">
        <v>37</v>
      </c>
      <c r="T3" s="10" t="s">
        <v>38</v>
      </c>
      <c r="U3" s="10" t="s">
        <v>40</v>
      </c>
      <c r="V3" s="10" t="s">
        <v>38</v>
      </c>
      <c r="W3" s="10" t="s">
        <v>48</v>
      </c>
      <c r="X3" s="10" t="s">
        <v>41</v>
      </c>
      <c r="Y3" s="4">
        <v>10</v>
      </c>
      <c r="Z3" s="10" t="s">
        <v>49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9"/>
      <c r="B4" s="10"/>
      <c r="C4" s="10" t="s">
        <v>50</v>
      </c>
      <c r="D4" s="10" t="s">
        <v>51</v>
      </c>
      <c r="E4" s="4">
        <v>10</v>
      </c>
      <c r="F4" s="10" t="s">
        <v>52</v>
      </c>
      <c r="G4" s="10" t="s">
        <v>53</v>
      </c>
      <c r="H4" s="10" t="s">
        <v>37</v>
      </c>
      <c r="I4" s="10" t="s">
        <v>38</v>
      </c>
      <c r="J4" s="10" t="s">
        <v>38</v>
      </c>
      <c r="K4" s="10" t="s">
        <v>38</v>
      </c>
      <c r="L4" s="4">
        <v>10</v>
      </c>
      <c r="M4" s="10" t="s">
        <v>37</v>
      </c>
      <c r="N4" s="10" t="s">
        <v>38</v>
      </c>
      <c r="O4" s="10" t="s">
        <v>38</v>
      </c>
      <c r="P4" s="4">
        <v>10</v>
      </c>
      <c r="Q4" s="10" t="s">
        <v>37</v>
      </c>
      <c r="R4" s="10" t="s">
        <v>38</v>
      </c>
      <c r="S4" s="10" t="s">
        <v>37</v>
      </c>
      <c r="T4" s="10" t="s">
        <v>38</v>
      </c>
      <c r="U4" s="10" t="s">
        <v>40</v>
      </c>
      <c r="V4" s="10" t="s">
        <v>38</v>
      </c>
      <c r="W4" s="10" t="s">
        <v>38</v>
      </c>
      <c r="X4" s="10" t="s">
        <v>54</v>
      </c>
      <c r="Y4" s="4">
        <v>10</v>
      </c>
      <c r="Z4" s="10" t="s">
        <v>55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75" x14ac:dyDescent="0.25">
      <c r="A5" s="9"/>
      <c r="B5" s="10"/>
      <c r="C5" s="10" t="s">
        <v>33</v>
      </c>
      <c r="D5" s="10" t="s">
        <v>56</v>
      </c>
      <c r="E5" s="4">
        <v>8</v>
      </c>
      <c r="F5" s="10" t="s">
        <v>57</v>
      </c>
      <c r="G5" s="10" t="s">
        <v>45</v>
      </c>
      <c r="H5" s="10" t="s">
        <v>37</v>
      </c>
      <c r="I5" s="10" t="s">
        <v>38</v>
      </c>
      <c r="J5" s="10" t="s">
        <v>58</v>
      </c>
      <c r="K5" s="10" t="s">
        <v>38</v>
      </c>
      <c r="L5" s="4">
        <v>10</v>
      </c>
      <c r="M5" s="10" t="s">
        <v>37</v>
      </c>
      <c r="N5" s="10" t="s">
        <v>38</v>
      </c>
      <c r="O5" s="10" t="s">
        <v>38</v>
      </c>
      <c r="P5" s="4">
        <v>10</v>
      </c>
      <c r="Q5" s="10" t="s">
        <v>37</v>
      </c>
      <c r="R5" s="10" t="s">
        <v>38</v>
      </c>
      <c r="S5" s="10" t="s">
        <v>37</v>
      </c>
      <c r="T5" s="10" t="s">
        <v>38</v>
      </c>
      <c r="U5" s="10" t="s">
        <v>40</v>
      </c>
      <c r="V5" s="10" t="s">
        <v>38</v>
      </c>
      <c r="W5" s="10" t="s">
        <v>59</v>
      </c>
      <c r="X5" s="10" t="s">
        <v>41</v>
      </c>
      <c r="Y5" s="4">
        <v>10</v>
      </c>
      <c r="Z5" s="10" t="s">
        <v>60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9"/>
      <c r="B6" s="10"/>
      <c r="C6" s="10" t="s">
        <v>33</v>
      </c>
      <c r="D6" s="10" t="s">
        <v>61</v>
      </c>
      <c r="E6" s="4">
        <v>10</v>
      </c>
      <c r="F6" s="10" t="s">
        <v>62</v>
      </c>
      <c r="G6" s="10" t="s">
        <v>63</v>
      </c>
      <c r="H6" s="10" t="s">
        <v>37</v>
      </c>
      <c r="I6" s="10" t="s">
        <v>64</v>
      </c>
      <c r="J6" s="10" t="s">
        <v>65</v>
      </c>
      <c r="K6" s="10" t="s">
        <v>66</v>
      </c>
      <c r="L6" s="4">
        <v>10</v>
      </c>
      <c r="M6" s="10" t="s">
        <v>37</v>
      </c>
      <c r="N6" s="10" t="s">
        <v>67</v>
      </c>
      <c r="O6" s="10" t="s">
        <v>68</v>
      </c>
      <c r="P6" s="4">
        <v>10</v>
      </c>
      <c r="Q6" s="10" t="s">
        <v>37</v>
      </c>
      <c r="R6" s="10" t="s">
        <v>69</v>
      </c>
      <c r="S6" s="10" t="s">
        <v>37</v>
      </c>
      <c r="T6" s="10" t="s">
        <v>70</v>
      </c>
      <c r="U6" s="10" t="s">
        <v>40</v>
      </c>
      <c r="V6" s="10" t="s">
        <v>71</v>
      </c>
      <c r="W6" s="10" t="s">
        <v>72</v>
      </c>
      <c r="X6" s="10" t="s">
        <v>41</v>
      </c>
      <c r="Y6" s="4">
        <v>10</v>
      </c>
      <c r="Z6" s="10" t="s">
        <v>73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9"/>
      <c r="B7" s="10"/>
      <c r="C7" s="10" t="s">
        <v>33</v>
      </c>
      <c r="D7" s="10" t="s">
        <v>74</v>
      </c>
      <c r="E7" s="4">
        <v>10</v>
      </c>
      <c r="F7" s="10" t="s">
        <v>75</v>
      </c>
      <c r="G7" s="10" t="s">
        <v>76</v>
      </c>
      <c r="H7" s="10" t="s">
        <v>37</v>
      </c>
      <c r="I7" s="10" t="s">
        <v>38</v>
      </c>
      <c r="J7" s="10" t="s">
        <v>38</v>
      </c>
      <c r="K7" s="10" t="s">
        <v>77</v>
      </c>
      <c r="L7" s="4">
        <v>10</v>
      </c>
      <c r="M7" s="10" t="s">
        <v>37</v>
      </c>
      <c r="N7" s="10" t="s">
        <v>38</v>
      </c>
      <c r="O7" s="10" t="s">
        <v>38</v>
      </c>
      <c r="P7" s="4">
        <v>10</v>
      </c>
      <c r="Q7" s="10" t="s">
        <v>37</v>
      </c>
      <c r="R7" s="10" t="s">
        <v>38</v>
      </c>
      <c r="S7" s="10" t="s">
        <v>37</v>
      </c>
      <c r="T7" s="10" t="s">
        <v>38</v>
      </c>
      <c r="U7" s="10" t="s">
        <v>40</v>
      </c>
      <c r="V7" s="10" t="s">
        <v>38</v>
      </c>
      <c r="W7" s="10" t="s">
        <v>38</v>
      </c>
      <c r="X7" s="10" t="s">
        <v>41</v>
      </c>
      <c r="Y7" s="4">
        <v>10</v>
      </c>
      <c r="Z7" s="10" t="s">
        <v>78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225" x14ac:dyDescent="0.25">
      <c r="A8" s="9"/>
      <c r="B8" s="10"/>
      <c r="C8" s="10" t="s">
        <v>33</v>
      </c>
      <c r="D8" s="10" t="s">
        <v>79</v>
      </c>
      <c r="E8" s="4">
        <v>10</v>
      </c>
      <c r="F8" s="10" t="s">
        <v>80</v>
      </c>
      <c r="G8" s="10" t="s">
        <v>81</v>
      </c>
      <c r="H8" s="10" t="s">
        <v>37</v>
      </c>
      <c r="I8" s="10" t="s">
        <v>38</v>
      </c>
      <c r="J8" s="10" t="s">
        <v>38</v>
      </c>
      <c r="K8" s="10" t="s">
        <v>82</v>
      </c>
      <c r="L8" s="4">
        <v>10</v>
      </c>
      <c r="M8" s="10" t="s">
        <v>37</v>
      </c>
      <c r="N8" s="10" t="s">
        <v>38</v>
      </c>
      <c r="O8" s="10" t="s">
        <v>38</v>
      </c>
      <c r="P8" s="4">
        <v>10</v>
      </c>
      <c r="Q8" s="10" t="s">
        <v>37</v>
      </c>
      <c r="R8" s="10" t="s">
        <v>38</v>
      </c>
      <c r="S8" s="10" t="s">
        <v>37</v>
      </c>
      <c r="T8" s="10" t="s">
        <v>38</v>
      </c>
      <c r="U8" s="10" t="s">
        <v>37</v>
      </c>
      <c r="V8" s="10" t="s">
        <v>83</v>
      </c>
      <c r="W8" s="10" t="s">
        <v>84</v>
      </c>
      <c r="X8" s="10" t="s">
        <v>41</v>
      </c>
      <c r="Y8" s="4">
        <v>10</v>
      </c>
      <c r="Z8" s="10" t="s">
        <v>85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75" x14ac:dyDescent="0.25">
      <c r="A9" s="9"/>
      <c r="B9" s="10"/>
      <c r="C9" s="10" t="s">
        <v>33</v>
      </c>
      <c r="D9" s="10" t="s">
        <v>86</v>
      </c>
      <c r="E9" s="4">
        <v>10</v>
      </c>
      <c r="F9" s="10" t="s">
        <v>87</v>
      </c>
      <c r="G9" s="10" t="s">
        <v>76</v>
      </c>
      <c r="H9" s="10" t="s">
        <v>37</v>
      </c>
      <c r="I9" s="10" t="s">
        <v>38</v>
      </c>
      <c r="J9" s="10" t="s">
        <v>38</v>
      </c>
      <c r="K9" s="10" t="s">
        <v>38</v>
      </c>
      <c r="L9" s="4">
        <v>10</v>
      </c>
      <c r="M9" s="10" t="s">
        <v>37</v>
      </c>
      <c r="N9" s="10" t="s">
        <v>38</v>
      </c>
      <c r="O9" s="10" t="s">
        <v>38</v>
      </c>
      <c r="P9" s="4">
        <v>10</v>
      </c>
      <c r="Q9" s="10" t="s">
        <v>37</v>
      </c>
      <c r="R9" s="10" t="s">
        <v>38</v>
      </c>
      <c r="S9" s="10" t="s">
        <v>37</v>
      </c>
      <c r="T9" s="10" t="s">
        <v>38</v>
      </c>
      <c r="U9" s="10" t="s">
        <v>40</v>
      </c>
      <c r="V9" s="10" t="s">
        <v>38</v>
      </c>
      <c r="W9" s="10" t="s">
        <v>38</v>
      </c>
      <c r="X9" s="10" t="s">
        <v>41</v>
      </c>
      <c r="Y9" s="4">
        <v>10</v>
      </c>
      <c r="Z9" s="10" t="s">
        <v>88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90" x14ac:dyDescent="0.25">
      <c r="A10" s="9"/>
      <c r="B10" s="10"/>
      <c r="C10" s="10" t="s">
        <v>33</v>
      </c>
      <c r="D10" s="10" t="s">
        <v>89</v>
      </c>
      <c r="E10" s="4">
        <v>10</v>
      </c>
      <c r="F10" s="10" t="s">
        <v>90</v>
      </c>
      <c r="G10" s="10" t="s">
        <v>91</v>
      </c>
      <c r="H10" s="10" t="s">
        <v>37</v>
      </c>
      <c r="I10" s="10" t="s">
        <v>38</v>
      </c>
      <c r="J10" s="10" t="s">
        <v>38</v>
      </c>
      <c r="K10" s="10" t="s">
        <v>38</v>
      </c>
      <c r="L10" s="4">
        <v>10</v>
      </c>
      <c r="M10" s="10" t="s">
        <v>37</v>
      </c>
      <c r="N10" s="10" t="s">
        <v>38</v>
      </c>
      <c r="O10" s="10" t="s">
        <v>38</v>
      </c>
      <c r="P10" s="4">
        <v>10</v>
      </c>
      <c r="Q10" s="10" t="s">
        <v>37</v>
      </c>
      <c r="R10" s="10" t="s">
        <v>38</v>
      </c>
      <c r="S10" s="10" t="s">
        <v>37</v>
      </c>
      <c r="T10" s="10" t="s">
        <v>38</v>
      </c>
      <c r="U10" s="10" t="s">
        <v>40</v>
      </c>
      <c r="V10" s="10" t="s">
        <v>38</v>
      </c>
      <c r="W10" s="10" t="s">
        <v>38</v>
      </c>
      <c r="X10" s="10" t="s">
        <v>54</v>
      </c>
      <c r="Y10" s="4">
        <v>10</v>
      </c>
      <c r="Z10" s="10" t="s">
        <v>92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9"/>
      <c r="B11" s="10"/>
      <c r="C11" s="10" t="s">
        <v>33</v>
      </c>
      <c r="D11" s="10" t="s">
        <v>93</v>
      </c>
      <c r="E11" s="4">
        <v>10</v>
      </c>
      <c r="F11" s="10" t="s">
        <v>94</v>
      </c>
      <c r="G11" s="10" t="s">
        <v>95</v>
      </c>
      <c r="H11" s="10" t="s">
        <v>37</v>
      </c>
      <c r="I11" s="10" t="s">
        <v>96</v>
      </c>
      <c r="J11" s="10" t="s">
        <v>97</v>
      </c>
      <c r="K11" s="10" t="s">
        <v>98</v>
      </c>
      <c r="L11" s="4">
        <v>10</v>
      </c>
      <c r="M11" s="10" t="s">
        <v>37</v>
      </c>
      <c r="N11" s="10" t="s">
        <v>98</v>
      </c>
      <c r="O11" s="10" t="s">
        <v>40</v>
      </c>
      <c r="P11" s="4">
        <v>10</v>
      </c>
      <c r="Q11" s="10" t="s">
        <v>37</v>
      </c>
      <c r="R11" s="10" t="s">
        <v>38</v>
      </c>
      <c r="S11" s="10" t="s">
        <v>37</v>
      </c>
      <c r="T11" s="10" t="s">
        <v>38</v>
      </c>
      <c r="U11" s="10" t="s">
        <v>40</v>
      </c>
      <c r="V11" s="10" t="s">
        <v>38</v>
      </c>
      <c r="W11" s="10" t="s">
        <v>99</v>
      </c>
      <c r="X11" s="10" t="s">
        <v>41</v>
      </c>
      <c r="Y11" s="4">
        <v>10</v>
      </c>
      <c r="Z11" s="10" t="s">
        <v>100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25">
      <c r="A12" s="1"/>
      <c r="B12" s="1"/>
      <c r="C12" s="1"/>
      <c r="D12" s="1"/>
      <c r="F12" s="1"/>
      <c r="G12" s="1"/>
      <c r="H12" s="1"/>
      <c r="I12" s="1"/>
      <c r="J12" s="1"/>
      <c r="K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25">
      <c r="A13" s="1"/>
      <c r="B13" s="1"/>
      <c r="C13" s="1"/>
      <c r="D13" s="1"/>
      <c r="F13" s="1"/>
      <c r="G13" s="1"/>
      <c r="H13" s="1"/>
      <c r="I13" s="1"/>
      <c r="J13" s="1"/>
      <c r="K13" s="1"/>
      <c r="M13" s="1"/>
      <c r="N13" s="1"/>
      <c r="O13" s="1"/>
      <c r="Q13" s="1"/>
      <c r="R13" s="1"/>
      <c r="S13" s="1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25">
      <c r="A14" s="1"/>
      <c r="B14" s="1"/>
      <c r="C14" s="1"/>
      <c r="D14" s="1"/>
      <c r="F14" s="1"/>
      <c r="G14" s="1"/>
      <c r="H14" s="1"/>
      <c r="I14" s="1"/>
      <c r="J14" s="1"/>
      <c r="K14" s="1"/>
      <c r="M14" s="1"/>
      <c r="N14" s="1"/>
      <c r="O14" s="1"/>
      <c r="Q14" s="1"/>
      <c r="R14" s="1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F15" s="1"/>
      <c r="G15" s="1"/>
      <c r="H15" s="1"/>
      <c r="I15" s="1"/>
      <c r="J15" s="1"/>
      <c r="K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F16" s="1"/>
      <c r="G16" s="1"/>
      <c r="H16" s="1"/>
      <c r="I16" s="1"/>
      <c r="J16" s="1"/>
      <c r="K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F17" s="1"/>
      <c r="G17" s="1"/>
      <c r="H17" s="1"/>
      <c r="I17" s="1"/>
      <c r="J17" s="1"/>
      <c r="K17" s="1"/>
      <c r="N17" s="1"/>
      <c r="O17" s="1"/>
      <c r="R17" s="1"/>
      <c r="T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F18" s="1"/>
      <c r="G18" s="1"/>
      <c r="H18" s="1"/>
      <c r="I18" s="1"/>
      <c r="J18" s="1"/>
      <c r="K18" s="1"/>
      <c r="N18" s="1"/>
      <c r="O18" s="1"/>
      <c r="R18" s="1"/>
      <c r="T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9.8000000000000007</v>
      </c>
      <c r="C4" s="8">
        <f>AVERAGE('Исходные данные (итог. анкета)'!L:L)</f>
        <v>10</v>
      </c>
      <c r="D4" s="8">
        <f>AVERAGE('Исходные данные (итог. анкета)'!P:P)</f>
        <v>10</v>
      </c>
      <c r="E4" s="7">
        <f>COUNTIF('Исходные данные (итог. анкета)'!U:U,"нет")/COUNTA('Исходные данные (итог. анкета)'!U2:U499)</f>
        <v>0.9</v>
      </c>
      <c r="F4" s="8">
        <f>AVERAGE('Исходные данные (итог. анкета)'!Y:Y)</f>
        <v>10</v>
      </c>
      <c r="G4" s="4">
        <f>AVERAGE(B4:D4,F4)</f>
        <v>9.9499999999999993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2026-07-01T10:11:31Z</dcterms:modified>
</cp:coreProperties>
</file>