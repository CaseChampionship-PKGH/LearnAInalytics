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E4" i="2"/>
  <c r="D4" i="2"/>
  <c r="C4" i="2"/>
  <c r="B4" i="2" l="1"/>
  <c r="G4" i="2" l="1"/>
</calcChain>
</file>

<file path=xl/sharedStrings.xml><?xml version="1.0" encoding="utf-8"?>
<sst xmlns="http://schemas.openxmlformats.org/spreadsheetml/2006/main" count="565" uniqueCount="311">
  <si>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</si>
  <si>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</si>
  <si>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</si>
  <si>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</si>
  <si>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</si>
  <si>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</si>
  <si>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</si>
  <si>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</si>
  <si>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</si>
  <si>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</si>
  <si>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</si>
  <si>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</si>
  <si>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</si>
  <si>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</si>
  <si>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</si>
  <si>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</si>
  <si>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</si>
  <si>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</si>
  <si>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</si>
  <si>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</si>
  <si>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</si>
  <si>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</si>
  <si>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</si>
  <si>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</si>
  <si>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</si>
  <si>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</si>
  <si>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</si>
  <si>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</si>
  <si>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</si>
  <si>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</si>
  <si>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</si>
  <si>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</si>
  <si>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</si>
  <si>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 1-й категории</t>
  </si>
  <si>
    <t>ведущий специалист</t>
  </si>
  <si>
    <t>Ведущий специалист</t>
  </si>
  <si>
    <t>специалист 1-й категории</t>
  </si>
  <si>
    <t/>
  </si>
  <si>
    <t>главный специалист</t>
  </si>
  <si>
    <t>специалист 1-й  категории</t>
  </si>
  <si>
    <t>специалист 1-й категории*</t>
  </si>
  <si>
    <t>помощник вице-губернатора Санкт-Петербурга</t>
  </si>
  <si>
    <t>Главный специалист</t>
  </si>
  <si>
    <t>Вопросы , связанные с контролем, с хранением документов.</t>
  </si>
  <si>
    <t>Умения комплектовать дела для сдачи в архив.
Работ с ГОСТом.</t>
  </si>
  <si>
    <t>да</t>
  </si>
  <si>
    <t>Инструкция по делопроизводству. Непосредственно необходима в работе.</t>
  </si>
  <si>
    <t>Составление писем.</t>
  </si>
  <si>
    <t>Вопросы делопроизводства.</t>
  </si>
  <si>
    <t>Написание писем</t>
  </si>
  <si>
    <t>=</t>
  </si>
  <si>
    <t>Все вопросы актуальны</t>
  </si>
  <si>
    <t>Ведение делопроизводства. Сдача документов постоянного хранения в архив.</t>
  </si>
  <si>
    <t>Делопроизводство, служебные письма, архивное дело.</t>
  </si>
  <si>
    <t>Написание служебных писем</t>
  </si>
  <si>
    <t>Архивное дело и делопроизводство. Работаю в секторе хранения</t>
  </si>
  <si>
    <t>Все, что касается архивного дела</t>
  </si>
  <si>
    <t>вопросы организации делопроизводства, так как непосредственно работаю с документами</t>
  </si>
  <si>
    <t>все полученные знания</t>
  </si>
  <si>
    <t>-</t>
  </si>
  <si>
    <t>хранение дел</t>
  </si>
  <si>
    <t>порядок взаимодействия с архивом, доступ к архивным документам, работа с архивными документами</t>
  </si>
  <si>
    <t>взаимодействие с Архивным комитетом СПб, написание деловых писем</t>
  </si>
  <si>
    <t>оформление документов, исторические данные</t>
  </si>
  <si>
    <t>оформление документов, как пользоваться и обращаться в архивы</t>
  </si>
  <si>
    <t>Формирование дела и номенклатура, а также сроки хранения дел. Актуальны в связи с тем, что моя работа непосредственно связана с данной деятельностью.</t>
  </si>
  <si>
    <t>Формирование дела.</t>
  </si>
  <si>
    <t>Вопросы касающиеся делопроизводства, оформления документов и формирования архива</t>
  </si>
  <si>
    <t>Применения новых ГОСТовв работе</t>
  </si>
  <si>
    <t>номенклатура дел</t>
  </si>
  <si>
    <t>служебные  письма</t>
  </si>
  <si>
    <t>вопросы архива</t>
  </si>
  <si>
    <t>вопросы делопроизводства</t>
  </si>
  <si>
    <t>ВОПРОСЫ АРХИВА</t>
  </si>
  <si>
    <t>Вопросы делопроизводства и архива</t>
  </si>
  <si>
    <t>вопросы по делопроизводству</t>
  </si>
  <si>
    <t>все знания пригодятся в дальнейшей работе</t>
  </si>
  <si>
    <t>Делопроизводство</t>
  </si>
  <si>
    <t>делопроизводство, номенклатура дел, подготовка нпа</t>
  </si>
  <si>
    <t>подготовка номенклатуры дел, работа с поручениями, подготовка нпа</t>
  </si>
  <si>
    <t>Составление номенклатуры дел
Реквизиты документа
Оформление служебных писем
Работа с ведомственным архивом</t>
  </si>
  <si>
    <t>Составление номенклатуры дел
Оформление служебных писем
Составление описи дел постоянного хранения</t>
  </si>
  <si>
    <t>делопроизводство</t>
  </si>
  <si>
    <t>регистрация документов</t>
  </si>
  <si>
    <t>все</t>
  </si>
  <si>
    <t>Оформление писем</t>
  </si>
  <si>
    <t>Оформление деловых писем, регистрация и хранение</t>
  </si>
  <si>
    <t>прошивка дел, кол-во листов, хранение док-ов</t>
  </si>
  <si>
    <t>все вышеперечисленные</t>
  </si>
  <si>
    <t>Все рассматриваемые темы были актуальны</t>
  </si>
  <si>
    <t>Все</t>
  </si>
  <si>
    <t>Архив</t>
  </si>
  <si>
    <t>Знания по формированию архивных дел</t>
  </si>
  <si>
    <t>архивное дело самое интересное</t>
  </si>
  <si>
    <t>Все необходимо для работы.</t>
  </si>
  <si>
    <t>Никакие , для полезно для работы</t>
  </si>
  <si>
    <t>Побольше уделить время разбору со служебными письмами: выставление контроля, работа с ДСП,  с контрольными картами, приказами, распоряжениями....</t>
  </si>
  <si>
    <t>Было интересно, познавательно. Пригодилось для работы.</t>
  </si>
  <si>
    <t>Затрудняюсь ответить.</t>
  </si>
  <si>
    <t>Больше практических работ.</t>
  </si>
  <si>
    <t>Все пригодится в работе</t>
  </si>
  <si>
    <t>Все темы полезны</t>
  </si>
  <si>
    <t>Все темы подобраны на отлично</t>
  </si>
  <si>
    <t>Узнал новые ГОСТ</t>
  </si>
  <si>
    <t>Исключать ничего не надо</t>
  </si>
  <si>
    <t>Документы для служебного пользования</t>
  </si>
  <si>
    <t>Ознакомилась с нормативными актами, принятыми недавно.</t>
  </si>
  <si>
    <t>Ничего не надо исключать</t>
  </si>
  <si>
    <t>затрудняюсь ответить</t>
  </si>
  <si>
    <t>Узнала много нового для себя, буду стараться применять в своей работе</t>
  </si>
  <si>
    <t>Возможно для специалистов архивного дела лучше больше дать информации именно по хранению, передаче и ведению архивного дела</t>
  </si>
  <si>
    <t>достаточно информации</t>
  </si>
  <si>
    <t>узнала много нового материала</t>
  </si>
  <si>
    <t>все темы полезны</t>
  </si>
  <si>
    <t>все отлично</t>
  </si>
  <si>
    <t>актуально</t>
  </si>
  <si>
    <t>визирование документов</t>
  </si>
  <si>
    <t>уделить внимание взаимодействию органов власти</t>
  </si>
  <si>
    <t>Потому что я получила ответы на вопросы, которые мне были непонятны и из-за которых я пошла на этот курс</t>
  </si>
  <si>
    <t>нет</t>
  </si>
  <si>
    <t>Получено много знаний.</t>
  </si>
  <si>
    <t>Никакие, все вопросы полезны для рассмотрения.</t>
  </si>
  <si>
    <t>Побольше экскурсии по архиву и экспертиза документов.</t>
  </si>
  <si>
    <t>Полное погружение и раскрытие материала</t>
  </si>
  <si>
    <t>все вопросы актуальны</t>
  </si>
  <si>
    <t>больше практической работы</t>
  </si>
  <si>
    <t>получено ответы на мои вопросы</t>
  </si>
  <si>
    <t>никакие</t>
  </si>
  <si>
    <t>все актуально</t>
  </si>
  <si>
    <t>дана хорошая нормативная база</t>
  </si>
  <si>
    <t>все полезны</t>
  </si>
  <si>
    <t>курс обучения достаточен</t>
  </si>
  <si>
    <t>Была дана хорошая нормативная база</t>
  </si>
  <si>
    <t>все темы были полезны</t>
  </si>
  <si>
    <t>были получены новые знания</t>
  </si>
  <si>
    <t>таких нет</t>
  </si>
  <si>
    <t>практические занятия по программе word</t>
  </si>
  <si>
    <t>Буду использовать навыки в работе</t>
  </si>
  <si>
    <t>Никакие</t>
  </si>
  <si>
    <t>Орфография в делопроизводстве</t>
  </si>
  <si>
    <t>получены новые знания</t>
  </si>
  <si>
    <t>больше практических занятий для закрепления навыков по делопроизводству</t>
  </si>
  <si>
    <t>Интересный материал, хорошая подача, великолепные преподаватели, увлекательные практические занятия</t>
  </si>
  <si>
    <t>Таких тем нет</t>
  </si>
  <si>
    <t>Практическое занятие: сдача архивных дел в ЦГА (на месте в ЦГА) с актуальными примерами как должны выглядеть  дела и какие сопроводительные документы</t>
  </si>
  <si>
    <t>оформление документа</t>
  </si>
  <si>
    <t>орфография делопроизводства</t>
  </si>
  <si>
    <t>всё четко и понятно</t>
  </si>
  <si>
    <t>никаких</t>
  </si>
  <si>
    <t>не знаю</t>
  </si>
  <si>
    <t>формирование документов</t>
  </si>
  <si>
    <t>ничего исключать не нужно</t>
  </si>
  <si>
    <t>все устраивает</t>
  </si>
  <si>
    <t>Лекции очень информативные и понятные к восприятию</t>
  </si>
  <si>
    <t>Оставить все</t>
  </si>
  <si>
    <t>Информации достаточно</t>
  </si>
  <si>
    <t>полезность</t>
  </si>
  <si>
    <t>регистрация, ЕСЭД</t>
  </si>
  <si>
    <t>Получены полезные знания</t>
  </si>
  <si>
    <t>все актуальны</t>
  </si>
  <si>
    <t>Получила новые знания</t>
  </si>
  <si>
    <t>нет  лишнего</t>
  </si>
  <si>
    <t>Расширить архивное дело</t>
  </si>
  <si>
    <t>все интересно</t>
  </si>
  <si>
    <t>все оставить</t>
  </si>
  <si>
    <t>больше про архивы</t>
  </si>
  <si>
    <t>Работа с приказами, распоряжениями, постановлениями ...</t>
  </si>
  <si>
    <t>Нет надобности</t>
  </si>
  <si>
    <t>Правильность написания текста письма.</t>
  </si>
  <si>
    <t>Все понравилось.</t>
  </si>
  <si>
    <t>Все темы отрабатывались достаточное количество времени</t>
  </si>
  <si>
    <t>ничего</t>
  </si>
  <si>
    <t>Не разработана инструкция по документам служебного делопроизводства</t>
  </si>
  <si>
    <t>Ничего</t>
  </si>
  <si>
    <t>Номенклатура дел, написание служебных писем</t>
  </si>
  <si>
    <t>Индивидуальный  набор раздаточного материала</t>
  </si>
  <si>
    <t>Все прекрасно</t>
  </si>
  <si>
    <t>все нормально</t>
  </si>
  <si>
    <t>протоколирование</t>
  </si>
  <si>
    <t>больше практических задач</t>
  </si>
  <si>
    <t>нет таких</t>
  </si>
  <si>
    <t>нет предложений</t>
  </si>
  <si>
    <t>никакие не требуют, все достаточно.</t>
  </si>
  <si>
    <t>все устраивает.</t>
  </si>
  <si>
    <t>Вопросы напрямую связанные с практической деятельностью на работе.
Как правильно составить документ, как применить итд</t>
  </si>
  <si>
    <t>Больше печатных материалов</t>
  </si>
  <si>
    <t>ДЛС</t>
  </si>
  <si>
    <t>курс достачен</t>
  </si>
  <si>
    <t>предложений нет</t>
  </si>
  <si>
    <t>курс достаточен</t>
  </si>
  <si>
    <t>хотелось бы практических занятий по программе word, ежедневная работа в этой программе</t>
  </si>
  <si>
    <t>практические занятия в компьютерном классе</t>
  </si>
  <si>
    <t>Навыки писем делового характера , и использование законов для ответов гражданам</t>
  </si>
  <si>
    <t>Больше практики</t>
  </si>
  <si>
    <t>делопроизводство: оформление писем, регистрация документов</t>
  </si>
  <si>
    <t>Самый важный вопрос для ИОГВ - сдача документов в ЦГА</t>
  </si>
  <si>
    <t>Время проведение обучения (исключить позднее вечернее)</t>
  </si>
  <si>
    <t>подготовки документов в архив</t>
  </si>
  <si>
    <t>все норм</t>
  </si>
  <si>
    <t>Всего достаточно</t>
  </si>
  <si>
    <t>Для большего восприятия уменьшить количество часов за один день. Слишком много информации после рабочего дня тяжело усваивается.</t>
  </si>
  <si>
    <t>ЕСЭД,ДСП</t>
  </si>
  <si>
    <t>Передача дел в архив</t>
  </si>
  <si>
    <t>Нет тем</t>
  </si>
  <si>
    <t>архив очень интерео</t>
  </si>
  <si>
    <t>больше по поиску в архивах</t>
  </si>
  <si>
    <t>Последовательность сохраняется.</t>
  </si>
  <si>
    <t>Эксперты очень интересно рассказывали и объясняли материал.</t>
  </si>
  <si>
    <t>НЕТ.</t>
  </si>
  <si>
    <t>Из одной темы вытекала другая. Все понравилось.</t>
  </si>
  <si>
    <t>На все вопросы были получены ответы.</t>
  </si>
  <si>
    <t>Архивное дело мне не очень близко. Но все подробно рассказали.</t>
  </si>
  <si>
    <t>Темы и логика изложения последовательны</t>
  </si>
  <si>
    <t>Ответы на все вопросы получены в полном объеме</t>
  </si>
  <si>
    <t>Программа от простого материала к более сложному</t>
  </si>
  <si>
    <t>Я бы сначала поставила темы, посвященные делопроизводству, а затем архивное дело.</t>
  </si>
  <si>
    <t>если возникали трудности в понимании тех, или иных тем, всегда можно было задать вопрос.</t>
  </si>
  <si>
    <t>Всё было интересно</t>
  </si>
  <si>
    <t>Возможно хорошо бы рассказать сначала про резолюции, потом про делопроизводство, потом про архивное дело.</t>
  </si>
  <si>
    <t>Вся информация доступно была донесена. А на интересующие вопросы преподаватели давали исчерпывающие ответы</t>
  </si>
  <si>
    <t>все подробно рассказывали</t>
  </si>
  <si>
    <t>на все вопросы получены исчерпывающие ответы</t>
  </si>
  <si>
    <t>скорее да, чем нет. Я бы поменяла местами темы про реквизиты документа и изучение отдельных реквизитов; тема контроля - в самом конце</t>
  </si>
  <si>
    <t>на все вопросы ответы были получены. Особенно подробно от Светланы Михайловны</t>
  </si>
  <si>
    <t>Все очень интересно</t>
  </si>
  <si>
    <t>Преподаватели готовы были отвечать на вопросы, рассказывали все доступным языком</t>
  </si>
  <si>
    <t>не было таких моментов</t>
  </si>
  <si>
    <t>сначала идут правовые перечни, затем экспертиза и формирование дела, все в точном порядке как нужно для изучения.</t>
  </si>
  <si>
    <t>были заданы вопросы по интересующей теме, преподаватели точно и конкретно смогли на них подробно ответить.</t>
  </si>
  <si>
    <t>такого не было</t>
  </si>
  <si>
    <t>желательно начинать обучение с азов: что такое документ, из чего состоит...</t>
  </si>
  <si>
    <t>сначла бы лучше пройти курс делопроизводства, а потом архивное дело</t>
  </si>
  <si>
    <t>нет вопросов</t>
  </si>
  <si>
    <t>не возникали</t>
  </si>
  <si>
    <t>вопросов нет</t>
  </si>
  <si>
    <t>по вопросам архива и нормативной базы</t>
  </si>
  <si>
    <t>темы подобраны грамотно, суть раскрыта подробно</t>
  </si>
  <si>
    <t>преподаватели раскрыли все темы занятий подробно, отвечали на дополнительные вопросы.
особенно хочется отметить Матвееву Н.Н., Васильеву С.М.</t>
  </si>
  <si>
    <t>Правильная последовательность тем и логика изложения материала полностью соответствовала программе обучения</t>
  </si>
  <si>
    <t>Каждый преподаватель давал подробный ответ на каждый вопрос</t>
  </si>
  <si>
    <t>Не имелось.</t>
  </si>
  <si>
    <t>желательно сначала давать блок занятий по делопроизводству, номенклатуре дел, затем вопросы формирования и передачи дел в архив</t>
  </si>
  <si>
    <t>Делопроизводство  и номенклатура дел были в самом конце</t>
  </si>
  <si>
    <t>Преподаватели всегда интересовались и отвечали охотно на вопросы</t>
  </si>
  <si>
    <t>все хорошо</t>
  </si>
  <si>
    <t>ответы на вопросы были даны</t>
  </si>
  <si>
    <t>всё логично и понятно</t>
  </si>
  <si>
    <t>могла задать вопрос</t>
  </si>
  <si>
    <t>курс полностью устраивает</t>
  </si>
  <si>
    <t>Темы занятий идут последовательно</t>
  </si>
  <si>
    <t>Вопросов не было</t>
  </si>
  <si>
    <t>Не возникало</t>
  </si>
  <si>
    <t>...</t>
  </si>
  <si>
    <t>....</t>
  </si>
  <si>
    <t>лекции</t>
  </si>
  <si>
    <t>последовательность и логика соблюдена отлично</t>
  </si>
  <si>
    <t>на все вопросы получены ответы</t>
  </si>
  <si>
    <t>не возниками</t>
  </si>
  <si>
    <t>Считаю все логичным</t>
  </si>
  <si>
    <t>В каких архивах какая информация хранится</t>
  </si>
  <si>
    <t>не возникало</t>
  </si>
  <si>
    <t>практика после теории</t>
  </si>
  <si>
    <t>вопросы по оформлению писем все подробно было</t>
  </si>
  <si>
    <t>нет, только от усталости</t>
  </si>
  <si>
    <t>Все понравилось</t>
  </si>
  <si>
    <t>очное обучение в аудиториях Корпоративного университета</t>
  </si>
  <si>
    <t>Все очень понравилось!!!</t>
  </si>
  <si>
    <t>Практические задания и интересные факты.</t>
  </si>
  <si>
    <t xml:space="preserve"> Больше люблю личный контакт.</t>
  </si>
  <si>
    <t>все было хорошо</t>
  </si>
  <si>
    <t>полностью дистанционный формат обучения</t>
  </si>
  <si>
    <t>Все понравилось. Большое спасибо</t>
  </si>
  <si>
    <t>смешанное обучение: частично очно, частично дистанционно</t>
  </si>
  <si>
    <t>Все интересно</t>
  </si>
  <si>
    <t>Всё на высшем уровне</t>
  </si>
  <si>
    <t>Я довольно мотивированный человек.</t>
  </si>
  <si>
    <t>Все было понятно</t>
  </si>
  <si>
    <t>Все хорошо</t>
  </si>
  <si>
    <t>мне было интересно</t>
  </si>
  <si>
    <t>мне понравилось</t>
  </si>
  <si>
    <t>все было актуально, интересно</t>
  </si>
  <si>
    <t>вопросов не возникало, давались разъяснения</t>
  </si>
  <si>
    <t>все вопросы решались оперативно</t>
  </si>
  <si>
    <t>больше экскурсии, рассказ про восстановление документов.</t>
  </si>
  <si>
    <t>Куратор без проблем реагировал на какие- то вопросы, точно быстро и подробно разъяснял все события.</t>
  </si>
  <si>
    <t>Хотелось бы, чтобы обучение проходило в дневное время, а не после работы. 
Иначе сложно воспринять информацию</t>
  </si>
  <si>
    <t>Полностью удовлетворена взаимодействием</t>
  </si>
  <si>
    <t>вечернее время очень плохо после работы</t>
  </si>
  <si>
    <t>обучение достаточное</t>
  </si>
  <si>
    <t>обучение полезное</t>
  </si>
  <si>
    <t>обучение является достаточным</t>
  </si>
  <si>
    <t>обучение было эффективным</t>
  </si>
  <si>
    <t>Спасибо большое всей команде!</t>
  </si>
  <si>
    <t>Больше практических занятий</t>
  </si>
  <si>
    <t>Куратор контролировала и координировала полностью нашу группу. Никогда не возникало какого-либо недопонимания.</t>
  </si>
  <si>
    <t>информация доводилась до слушателей в чате в Max, лично. куратор всегда на связи</t>
  </si>
  <si>
    <t>Более раннее  по времени проведение занятий</t>
  </si>
  <si>
    <t>Куратор всегда на связи, все понятно</t>
  </si>
  <si>
    <t>больше практики</t>
  </si>
  <si>
    <t>для общего развития</t>
  </si>
  <si>
    <t>только собственный интерес</t>
  </si>
  <si>
    <t>взаимодействие на нужном уровне</t>
  </si>
  <si>
    <t xml:space="preserve"> давно хотелось пройти данный курс</t>
  </si>
  <si>
    <t>Командное решение вопросов</t>
  </si>
  <si>
    <t>практика</t>
  </si>
  <si>
    <t>пртпатап</t>
  </si>
  <si>
    <t>практические занятия</t>
  </si>
  <si>
    <t>Отличное обучение.</t>
  </si>
  <si>
    <t>практические советы</t>
  </si>
  <si>
    <t>больше об архивах</t>
  </si>
  <si>
    <t>все понравилось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</si>
</sst>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0" xfId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29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5" t="s">
        <v>7</v>
      </c>
      <c r="B1" s="5" t="s">
        <v>8</v>
      </c>
      <c r="C1" s="5" t="s">
        <v>9</v>
      </c>
      <c r="D1" s="5" t="s">
        <v>24</v>
      </c>
      <c r="E1" s="4" t="s">
        <v>20</v>
      </c>
      <c r="F1" s="5" t="s">
        <v>10</v>
      </c>
      <c r="G1" s="5" t="s">
        <v>11</v>
      </c>
      <c r="H1" s="5" t="s">
        <v>26</v>
      </c>
      <c r="I1" s="5" t="s">
        <v>25</v>
      </c>
      <c r="J1" s="5" t="s">
        <v>12</v>
      </c>
      <c r="K1" s="5" t="s">
        <v>13</v>
      </c>
      <c r="L1" s="4" t="s">
        <v>21</v>
      </c>
      <c r="M1" s="5" t="s">
        <v>27</v>
      </c>
      <c r="N1" s="5" t="s">
        <v>28</v>
      </c>
      <c r="O1" s="5" t="s">
        <v>14</v>
      </c>
      <c r="P1" s="4" t="s">
        <v>22</v>
      </c>
      <c r="Q1" s="5" t="s">
        <v>15</v>
      </c>
      <c r="R1" s="5" t="s">
        <v>29</v>
      </c>
      <c r="S1" s="5" t="s">
        <v>16</v>
      </c>
      <c r="T1" s="5" t="s">
        <v>30</v>
      </c>
      <c r="U1" s="5" t="s">
        <v>32</v>
      </c>
      <c r="V1" s="5" t="s">
        <v>31</v>
      </c>
      <c r="W1" s="5" t="s">
        <v>17</v>
      </c>
      <c r="X1" s="5" t="s">
        <v>18</v>
      </c>
      <c r="Y1" s="5" t="s">
        <v>23</v>
      </c>
      <c r="Z1" s="5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126" x14ac:dyDescent="0.25">
      <c r="A2" s="8"/>
      <c r="B2" s="8"/>
      <c r="C2" s="8" t="s">
        <v>33</v>
      </c>
      <c r="D2" s="1"/>
      <c r="E2" s="8">
        <v>10</v>
      </c>
      <c r="F2" s="8" t="s">
        <v>43</v>
      </c>
      <c r="G2" s="8" t="s">
        <v>44</v>
      </c>
      <c r="H2" s="8" t="s">
        <v>45</v>
      </c>
      <c r="I2" s="8" t="s">
        <v>94</v>
      </c>
      <c r="J2" s="8" t="s">
        <v>95</v>
      </c>
      <c r="K2" s="8" t="s">
        <v>96</v>
      </c>
      <c r="L2" s="8">
        <v>10</v>
      </c>
      <c r="M2" s="8" t="s">
        <v>45</v>
      </c>
      <c r="N2" s="8" t="s">
        <v>166</v>
      </c>
      <c r="O2" s="8" t="s">
        <v>167</v>
      </c>
      <c r="P2" s="8">
        <v>10</v>
      </c>
      <c r="Q2" s="8" t="s">
        <v>45</v>
      </c>
      <c r="R2" s="8" t="s">
        <v>206</v>
      </c>
      <c r="S2" s="8" t="s">
        <v>45</v>
      </c>
      <c r="T2" s="8" t="s">
        <v>207</v>
      </c>
      <c r="U2" s="8" t="s">
        <v>119</v>
      </c>
      <c r="V2" s="8" t="s">
        <v>208</v>
      </c>
      <c r="W2" s="8" t="s">
        <v>264</v>
      </c>
      <c r="X2" s="8" t="s">
        <v>265</v>
      </c>
      <c r="Y2" s="8">
        <v>10</v>
      </c>
      <c r="Z2" s="8" t="s">
        <v>266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63" x14ac:dyDescent="0.25">
      <c r="A3" s="8"/>
      <c r="B3" s="8"/>
      <c r="C3" s="8" t="s">
        <v>34</v>
      </c>
      <c r="D3" s="1"/>
      <c r="E3" s="8">
        <v>10</v>
      </c>
      <c r="F3" s="8" t="s">
        <v>46</v>
      </c>
      <c r="G3" s="8" t="s">
        <v>47</v>
      </c>
      <c r="H3" s="8" t="s">
        <v>45</v>
      </c>
      <c r="I3" s="8" t="s">
        <v>97</v>
      </c>
      <c r="J3" s="8" t="s">
        <v>98</v>
      </c>
      <c r="K3" s="8" t="s">
        <v>99</v>
      </c>
      <c r="L3" s="8">
        <v>10</v>
      </c>
      <c r="M3" s="8" t="s">
        <v>45</v>
      </c>
      <c r="N3" s="8" t="s">
        <v>168</v>
      </c>
      <c r="O3" s="8" t="s">
        <v>169</v>
      </c>
      <c r="P3" s="8">
        <v>10</v>
      </c>
      <c r="Q3" s="8" t="s">
        <v>45</v>
      </c>
      <c r="R3" s="8" t="s">
        <v>209</v>
      </c>
      <c r="S3" s="8" t="s">
        <v>45</v>
      </c>
      <c r="T3" s="8" t="s">
        <v>210</v>
      </c>
      <c r="U3" s="8" t="s">
        <v>119</v>
      </c>
      <c r="V3" s="8" t="s">
        <v>211</v>
      </c>
      <c r="W3" s="8" t="s">
        <v>267</v>
      </c>
      <c r="X3" s="8" t="s">
        <v>265</v>
      </c>
      <c r="Y3" s="8">
        <v>10</v>
      </c>
      <c r="Z3" s="8" t="s">
        <v>268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63" x14ac:dyDescent="0.25">
      <c r="A4" s="8"/>
      <c r="B4" s="8"/>
      <c r="C4" s="8" t="s">
        <v>35</v>
      </c>
      <c r="D4" s="1"/>
      <c r="E4" s="8">
        <v>10</v>
      </c>
      <c r="F4" s="8" t="s">
        <v>48</v>
      </c>
      <c r="G4" s="8" t="s">
        <v>49</v>
      </c>
      <c r="H4" s="8" t="s">
        <v>45</v>
      </c>
      <c r="I4" s="8" t="s">
        <v>100</v>
      </c>
      <c r="J4" s="8" t="s">
        <v>101</v>
      </c>
      <c r="K4" s="8" t="s">
        <v>102</v>
      </c>
      <c r="L4" s="8">
        <v>10</v>
      </c>
      <c r="M4" s="8" t="s">
        <v>45</v>
      </c>
      <c r="N4" s="8" t="s">
        <v>170</v>
      </c>
      <c r="O4" s="8" t="s">
        <v>171</v>
      </c>
      <c r="P4" s="8">
        <v>10</v>
      </c>
      <c r="Q4" s="8" t="s">
        <v>45</v>
      </c>
      <c r="R4" s="8" t="s">
        <v>212</v>
      </c>
      <c r="S4" s="8" t="s">
        <v>45</v>
      </c>
      <c r="T4" s="8" t="s">
        <v>213</v>
      </c>
      <c r="U4" s="8" t="s">
        <v>119</v>
      </c>
      <c r="V4" s="8" t="s">
        <v>119</v>
      </c>
      <c r="W4" s="8" t="s">
        <v>269</v>
      </c>
      <c r="X4" s="8" t="s">
        <v>270</v>
      </c>
      <c r="Y4" s="8">
        <v>10</v>
      </c>
      <c r="Z4" s="8" t="s">
        <v>271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63" x14ac:dyDescent="0.25">
      <c r="A5" s="8"/>
      <c r="B5" s="8"/>
      <c r="C5" s="8" t="s">
        <v>36</v>
      </c>
      <c r="D5" s="1"/>
      <c r="E5" s="8">
        <v>10</v>
      </c>
      <c r="F5" s="8" t="s">
        <v>50</v>
      </c>
      <c r="G5" s="8" t="s">
        <v>50</v>
      </c>
      <c r="H5" s="8" t="s">
        <v>45</v>
      </c>
      <c r="I5" s="8" t="s">
        <v>50</v>
      </c>
      <c r="J5" s="8" t="s">
        <v>50</v>
      </c>
      <c r="K5" s="8" t="s">
        <v>50</v>
      </c>
      <c r="L5" s="8">
        <v>6</v>
      </c>
      <c r="M5" s="8" t="s">
        <v>45</v>
      </c>
      <c r="N5" s="8" t="s">
        <v>50</v>
      </c>
      <c r="O5" s="8" t="s">
        <v>50</v>
      </c>
      <c r="P5" s="8">
        <v>6</v>
      </c>
      <c r="Q5" s="8" t="s">
        <v>45</v>
      </c>
      <c r="R5" s="8" t="s">
        <v>50</v>
      </c>
      <c r="S5" s="8" t="s">
        <v>45</v>
      </c>
      <c r="T5" s="8" t="s">
        <v>50</v>
      </c>
      <c r="U5" s="8" t="s">
        <v>119</v>
      </c>
      <c r="V5" s="8" t="s">
        <v>50</v>
      </c>
      <c r="W5" s="8" t="s">
        <v>50</v>
      </c>
      <c r="X5" s="8" t="s">
        <v>272</v>
      </c>
      <c r="Y5" s="8">
        <v>6</v>
      </c>
      <c r="Z5" s="8" t="s">
        <v>50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78.75" x14ac:dyDescent="0.25">
      <c r="A6" s="8"/>
      <c r="B6" s="8"/>
      <c r="C6" s="8" t="s">
        <v>36</v>
      </c>
      <c r="D6" s="1"/>
      <c r="E6" s="8">
        <v>10</v>
      </c>
      <c r="F6" s="8" t="s">
        <v>51</v>
      </c>
      <c r="G6" s="8" t="s">
        <v>52</v>
      </c>
      <c r="H6" s="8" t="s">
        <v>45</v>
      </c>
      <c r="I6" s="8" t="s">
        <v>103</v>
      </c>
      <c r="J6" s="8" t="s">
        <v>104</v>
      </c>
      <c r="K6" s="8" t="s">
        <v>105</v>
      </c>
      <c r="L6" s="8">
        <v>10</v>
      </c>
      <c r="M6" s="8" t="s">
        <v>45</v>
      </c>
      <c r="N6" s="8" t="s">
        <v>172</v>
      </c>
      <c r="O6" s="8" t="s">
        <v>173</v>
      </c>
      <c r="P6" s="8">
        <v>10</v>
      </c>
      <c r="Q6" s="8" t="s">
        <v>45</v>
      </c>
      <c r="R6" s="8" t="s">
        <v>214</v>
      </c>
      <c r="S6" s="8" t="s">
        <v>45</v>
      </c>
      <c r="T6" s="8" t="s">
        <v>105</v>
      </c>
      <c r="U6" s="8" t="s">
        <v>119</v>
      </c>
      <c r="V6" s="8" t="s">
        <v>119</v>
      </c>
      <c r="W6" s="8" t="s">
        <v>273</v>
      </c>
      <c r="X6" s="8" t="s">
        <v>265</v>
      </c>
      <c r="Y6" s="8">
        <v>10</v>
      </c>
      <c r="Z6" s="8" t="s">
        <v>274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94.5" x14ac:dyDescent="0.25">
      <c r="A7" s="8"/>
      <c r="B7" s="8"/>
      <c r="C7" s="8" t="s">
        <v>35</v>
      </c>
      <c r="D7" s="1"/>
      <c r="E7" s="8">
        <v>8</v>
      </c>
      <c r="F7" s="8" t="s">
        <v>53</v>
      </c>
      <c r="G7" s="8" t="s">
        <v>54</v>
      </c>
      <c r="H7" s="8" t="s">
        <v>45</v>
      </c>
      <c r="I7" s="8" t="s">
        <v>106</v>
      </c>
      <c r="J7" s="8" t="s">
        <v>107</v>
      </c>
      <c r="K7" s="8" t="s">
        <v>108</v>
      </c>
      <c r="L7" s="8">
        <v>10</v>
      </c>
      <c r="M7" s="8" t="s">
        <v>45</v>
      </c>
      <c r="N7" s="8" t="s">
        <v>174</v>
      </c>
      <c r="O7" s="8" t="s">
        <v>175</v>
      </c>
      <c r="P7" s="8">
        <v>9</v>
      </c>
      <c r="Q7" s="8" t="s">
        <v>45</v>
      </c>
      <c r="R7" s="8" t="s">
        <v>215</v>
      </c>
      <c r="S7" s="8" t="s">
        <v>45</v>
      </c>
      <c r="T7" s="8" t="s">
        <v>216</v>
      </c>
      <c r="U7" s="8" t="s">
        <v>119</v>
      </c>
      <c r="V7" s="8" t="s">
        <v>217</v>
      </c>
      <c r="W7" s="8" t="s">
        <v>275</v>
      </c>
      <c r="X7" s="8" t="s">
        <v>265</v>
      </c>
      <c r="Y7" s="8">
        <v>10</v>
      </c>
      <c r="Z7" s="8" t="s">
        <v>276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141.75" x14ac:dyDescent="0.25">
      <c r="A8" s="8"/>
      <c r="B8" s="8"/>
      <c r="C8" s="8" t="s">
        <v>34</v>
      </c>
      <c r="D8" s="1"/>
      <c r="E8" s="8">
        <v>10</v>
      </c>
      <c r="F8" s="8" t="s">
        <v>55</v>
      </c>
      <c r="G8" s="8" t="s">
        <v>56</v>
      </c>
      <c r="H8" s="8" t="s">
        <v>45</v>
      </c>
      <c r="I8" s="8" t="s">
        <v>109</v>
      </c>
      <c r="J8" s="8" t="s">
        <v>110</v>
      </c>
      <c r="K8" s="8" t="s">
        <v>111</v>
      </c>
      <c r="L8" s="8">
        <v>10</v>
      </c>
      <c r="M8" s="8" t="s">
        <v>45</v>
      </c>
      <c r="N8" s="8" t="s">
        <v>176</v>
      </c>
      <c r="O8" s="8" t="s">
        <v>171</v>
      </c>
      <c r="P8" s="8">
        <v>10</v>
      </c>
      <c r="Q8" s="8" t="s">
        <v>45</v>
      </c>
      <c r="R8" s="8" t="s">
        <v>218</v>
      </c>
      <c r="S8" s="8" t="s">
        <v>45</v>
      </c>
      <c r="T8" s="8" t="s">
        <v>219</v>
      </c>
      <c r="U8" s="8" t="s">
        <v>119</v>
      </c>
      <c r="V8" s="8" t="s">
        <v>119</v>
      </c>
      <c r="W8" s="8" t="s">
        <v>244</v>
      </c>
      <c r="X8" s="8" t="s">
        <v>265</v>
      </c>
      <c r="Y8" s="8">
        <v>10</v>
      </c>
      <c r="Z8" s="8" t="s">
        <v>277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63" x14ac:dyDescent="0.25">
      <c r="A9" s="8"/>
      <c r="B9" s="8"/>
      <c r="C9" s="8" t="s">
        <v>33</v>
      </c>
      <c r="D9" s="1"/>
      <c r="E9" s="8">
        <v>10</v>
      </c>
      <c r="F9" s="8" t="s">
        <v>57</v>
      </c>
      <c r="G9" s="8" t="s">
        <v>58</v>
      </c>
      <c r="H9" s="8" t="s">
        <v>45</v>
      </c>
      <c r="I9" s="8" t="s">
        <v>112</v>
      </c>
      <c r="J9" s="8" t="s">
        <v>113</v>
      </c>
      <c r="K9" s="8" t="s">
        <v>114</v>
      </c>
      <c r="L9" s="8">
        <v>10</v>
      </c>
      <c r="M9" s="8" t="s">
        <v>45</v>
      </c>
      <c r="N9" s="8" t="s">
        <v>114</v>
      </c>
      <c r="O9" s="8" t="s">
        <v>171</v>
      </c>
      <c r="P9" s="8">
        <v>10</v>
      </c>
      <c r="Q9" s="8" t="s">
        <v>45</v>
      </c>
      <c r="R9" s="8" t="s">
        <v>220</v>
      </c>
      <c r="S9" s="8" t="s">
        <v>45</v>
      </c>
      <c r="T9" s="8" t="s">
        <v>221</v>
      </c>
      <c r="U9" s="8" t="s">
        <v>119</v>
      </c>
      <c r="V9" s="8" t="s">
        <v>119</v>
      </c>
      <c r="W9" s="8" t="s">
        <v>278</v>
      </c>
      <c r="X9" s="8" t="s">
        <v>272</v>
      </c>
      <c r="Y9" s="8">
        <v>10</v>
      </c>
      <c r="Z9" s="8" t="s">
        <v>279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63" x14ac:dyDescent="0.25">
      <c r="A10" s="8"/>
      <c r="B10" s="8"/>
      <c r="C10" s="8" t="s">
        <v>34</v>
      </c>
      <c r="D10" s="1"/>
      <c r="E10" s="8">
        <v>10</v>
      </c>
      <c r="F10" s="8" t="s">
        <v>59</v>
      </c>
      <c r="G10" s="8" t="s">
        <v>60</v>
      </c>
      <c r="H10" s="8" t="s">
        <v>45</v>
      </c>
      <c r="I10" s="8" t="s">
        <v>115</v>
      </c>
      <c r="J10" s="8" t="s">
        <v>59</v>
      </c>
      <c r="K10" s="8" t="s">
        <v>59</v>
      </c>
      <c r="L10" s="8">
        <v>8</v>
      </c>
      <c r="M10" s="8" t="s">
        <v>45</v>
      </c>
      <c r="N10" s="8" t="s">
        <v>177</v>
      </c>
      <c r="O10" s="8" t="s">
        <v>171</v>
      </c>
      <c r="P10" s="8">
        <v>10</v>
      </c>
      <c r="Q10" s="8" t="s">
        <v>45</v>
      </c>
      <c r="R10" s="8" t="s">
        <v>59</v>
      </c>
      <c r="S10" s="8" t="s">
        <v>45</v>
      </c>
      <c r="T10" s="8" t="s">
        <v>59</v>
      </c>
      <c r="U10" s="8" t="s">
        <v>119</v>
      </c>
      <c r="V10" s="8" t="s">
        <v>59</v>
      </c>
      <c r="W10" s="8" t="s">
        <v>59</v>
      </c>
      <c r="X10" s="8" t="s">
        <v>272</v>
      </c>
      <c r="Y10" s="8">
        <v>10</v>
      </c>
      <c r="Z10" s="8" t="s">
        <v>280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110.25" x14ac:dyDescent="0.25">
      <c r="A11" s="8"/>
      <c r="B11" s="8"/>
      <c r="C11" s="8" t="s">
        <v>37</v>
      </c>
      <c r="D11" s="1"/>
      <c r="E11" s="8">
        <v>8</v>
      </c>
      <c r="F11" s="8" t="s">
        <v>61</v>
      </c>
      <c r="G11" s="8" t="s">
        <v>62</v>
      </c>
      <c r="H11" s="8" t="s">
        <v>45</v>
      </c>
      <c r="I11" s="8" t="s">
        <v>59</v>
      </c>
      <c r="J11" s="8" t="s">
        <v>116</v>
      </c>
      <c r="K11" s="8" t="s">
        <v>117</v>
      </c>
      <c r="L11" s="8">
        <v>8</v>
      </c>
      <c r="M11" s="8" t="s">
        <v>45</v>
      </c>
      <c r="N11" s="8" t="s">
        <v>178</v>
      </c>
      <c r="O11" s="8" t="s">
        <v>179</v>
      </c>
      <c r="P11" s="8">
        <v>10</v>
      </c>
      <c r="Q11" s="8" t="s">
        <v>45</v>
      </c>
      <c r="R11" s="8" t="s">
        <v>222</v>
      </c>
      <c r="S11" s="8" t="s">
        <v>45</v>
      </c>
      <c r="T11" s="8" t="s">
        <v>223</v>
      </c>
      <c r="U11" s="8" t="s">
        <v>119</v>
      </c>
      <c r="V11" s="8" t="s">
        <v>59</v>
      </c>
      <c r="W11" s="8" t="s">
        <v>59</v>
      </c>
      <c r="X11" s="8" t="s">
        <v>272</v>
      </c>
      <c r="Y11" s="8">
        <v>10</v>
      </c>
      <c r="Z11" s="8" t="s">
        <v>281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94.5" x14ac:dyDescent="0.25">
      <c r="A12" s="8"/>
      <c r="B12" s="8"/>
      <c r="C12" s="8" t="s">
        <v>38</v>
      </c>
      <c r="D12" s="1"/>
      <c r="E12" s="8">
        <v>10</v>
      </c>
      <c r="F12" s="8" t="s">
        <v>63</v>
      </c>
      <c r="G12" s="8" t="s">
        <v>64</v>
      </c>
      <c r="H12" s="8" t="s">
        <v>45</v>
      </c>
      <c r="I12" s="8" t="s">
        <v>118</v>
      </c>
      <c r="J12" s="8" t="s">
        <v>119</v>
      </c>
      <c r="K12" s="8" t="s">
        <v>119</v>
      </c>
      <c r="L12" s="8">
        <v>10</v>
      </c>
      <c r="M12" s="8" t="s">
        <v>45</v>
      </c>
      <c r="N12" s="8" t="s">
        <v>180</v>
      </c>
      <c r="O12" s="8" t="s">
        <v>181</v>
      </c>
      <c r="P12" s="8">
        <v>10</v>
      </c>
      <c r="Q12" s="8" t="s">
        <v>45</v>
      </c>
      <c r="R12" s="8" t="s">
        <v>224</v>
      </c>
      <c r="S12" s="8" t="s">
        <v>45</v>
      </c>
      <c r="T12" s="8" t="s">
        <v>225</v>
      </c>
      <c r="U12" s="8" t="s">
        <v>119</v>
      </c>
      <c r="V12" s="8" t="s">
        <v>226</v>
      </c>
      <c r="W12" s="8" t="s">
        <v>181</v>
      </c>
      <c r="X12" s="8" t="s">
        <v>272</v>
      </c>
      <c r="Y12" s="8">
        <v>10</v>
      </c>
      <c r="Z12" s="8" t="s">
        <v>282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110.25" x14ac:dyDescent="0.25">
      <c r="A13" s="8"/>
      <c r="B13" s="8"/>
      <c r="C13" s="8" t="s">
        <v>39</v>
      </c>
      <c r="D13" s="1"/>
      <c r="E13" s="8">
        <v>10</v>
      </c>
      <c r="F13" s="8" t="s">
        <v>65</v>
      </c>
      <c r="G13" s="8" t="s">
        <v>66</v>
      </c>
      <c r="H13" s="8" t="s">
        <v>45</v>
      </c>
      <c r="I13" s="8" t="s">
        <v>120</v>
      </c>
      <c r="J13" s="8" t="s">
        <v>121</v>
      </c>
      <c r="K13" s="8" t="s">
        <v>122</v>
      </c>
      <c r="L13" s="8">
        <v>10</v>
      </c>
      <c r="M13" s="8" t="s">
        <v>45</v>
      </c>
      <c r="N13" s="8" t="s">
        <v>182</v>
      </c>
      <c r="O13" s="8" t="s">
        <v>183</v>
      </c>
      <c r="P13" s="8">
        <v>10</v>
      </c>
      <c r="Q13" s="8" t="s">
        <v>45</v>
      </c>
      <c r="R13" s="8" t="s">
        <v>227</v>
      </c>
      <c r="S13" s="8" t="s">
        <v>45</v>
      </c>
      <c r="T13" s="8" t="s">
        <v>228</v>
      </c>
      <c r="U13" s="8" t="s">
        <v>119</v>
      </c>
      <c r="V13" s="8" t="s">
        <v>229</v>
      </c>
      <c r="W13" s="8" t="s">
        <v>283</v>
      </c>
      <c r="X13" s="8" t="s">
        <v>265</v>
      </c>
      <c r="Y13" s="8">
        <v>10</v>
      </c>
      <c r="Z13" s="8" t="s">
        <v>284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126" x14ac:dyDescent="0.25">
      <c r="A14" s="8"/>
      <c r="B14" s="8"/>
      <c r="C14" s="8" t="s">
        <v>34</v>
      </c>
      <c r="D14" s="1"/>
      <c r="E14" s="8">
        <v>10</v>
      </c>
      <c r="F14" s="8" t="s">
        <v>67</v>
      </c>
      <c r="G14" s="8" t="s">
        <v>68</v>
      </c>
      <c r="H14" s="8" t="s">
        <v>45</v>
      </c>
      <c r="I14" s="8" t="s">
        <v>123</v>
      </c>
      <c r="J14" s="8" t="s">
        <v>124</v>
      </c>
      <c r="K14" s="8" t="s">
        <v>125</v>
      </c>
      <c r="L14" s="8">
        <v>7</v>
      </c>
      <c r="M14" s="8" t="s">
        <v>119</v>
      </c>
      <c r="N14" s="8" t="s">
        <v>184</v>
      </c>
      <c r="O14" s="8" t="s">
        <v>185</v>
      </c>
      <c r="P14" s="8">
        <v>10</v>
      </c>
      <c r="Q14" s="8" t="s">
        <v>119</v>
      </c>
      <c r="R14" s="8" t="s">
        <v>230</v>
      </c>
      <c r="S14" s="8" t="s">
        <v>45</v>
      </c>
      <c r="T14" s="8" t="s">
        <v>59</v>
      </c>
      <c r="U14" s="8" t="s">
        <v>119</v>
      </c>
      <c r="V14" s="8" t="s">
        <v>59</v>
      </c>
      <c r="W14" s="8" t="s">
        <v>285</v>
      </c>
      <c r="X14" s="8" t="s">
        <v>272</v>
      </c>
      <c r="Y14" s="8">
        <v>10</v>
      </c>
      <c r="Z14" s="8" t="s">
        <v>286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63" x14ac:dyDescent="0.25">
      <c r="A15" s="8"/>
      <c r="B15" s="8"/>
      <c r="C15" s="8" t="s">
        <v>36</v>
      </c>
      <c r="D15" s="1"/>
      <c r="E15" s="8">
        <v>10</v>
      </c>
      <c r="F15" s="8" t="s">
        <v>69</v>
      </c>
      <c r="G15" s="8" t="s">
        <v>70</v>
      </c>
      <c r="H15" s="8" t="s">
        <v>45</v>
      </c>
      <c r="I15" s="8" t="s">
        <v>126</v>
      </c>
      <c r="J15" s="8" t="s">
        <v>127</v>
      </c>
      <c r="K15" s="8" t="s">
        <v>128</v>
      </c>
      <c r="L15" s="8">
        <v>10</v>
      </c>
      <c r="M15" s="8" t="s">
        <v>45</v>
      </c>
      <c r="N15" s="8" t="s">
        <v>69</v>
      </c>
      <c r="O15" s="8" t="s">
        <v>186</v>
      </c>
      <c r="P15" s="8">
        <v>10</v>
      </c>
      <c r="Q15" s="8" t="s">
        <v>45</v>
      </c>
      <c r="R15" s="8" t="s">
        <v>231</v>
      </c>
      <c r="S15" s="8" t="s">
        <v>45</v>
      </c>
      <c r="T15" s="8" t="s">
        <v>232</v>
      </c>
      <c r="U15" s="8" t="s">
        <v>119</v>
      </c>
      <c r="V15" s="8" t="s">
        <v>233</v>
      </c>
      <c r="W15" s="8" t="s">
        <v>84</v>
      </c>
      <c r="X15" s="8" t="s">
        <v>272</v>
      </c>
      <c r="Y15" s="8">
        <v>10</v>
      </c>
      <c r="Z15" s="8" t="s">
        <v>287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63" x14ac:dyDescent="0.25">
      <c r="A16" s="8"/>
      <c r="B16" s="8"/>
      <c r="C16" s="8" t="s">
        <v>37</v>
      </c>
      <c r="D16" s="1"/>
      <c r="E16" s="8">
        <v>10</v>
      </c>
      <c r="F16" s="8" t="s">
        <v>71</v>
      </c>
      <c r="G16" s="8" t="s">
        <v>72</v>
      </c>
      <c r="H16" s="8" t="s">
        <v>45</v>
      </c>
      <c r="I16" s="8" t="s">
        <v>129</v>
      </c>
      <c r="J16" s="8" t="s">
        <v>130</v>
      </c>
      <c r="K16" s="8" t="s">
        <v>131</v>
      </c>
      <c r="L16" s="8">
        <v>10</v>
      </c>
      <c r="M16" s="8" t="s">
        <v>45</v>
      </c>
      <c r="N16" s="8" t="s">
        <v>187</v>
      </c>
      <c r="O16" s="8" t="s">
        <v>188</v>
      </c>
      <c r="P16" s="8">
        <v>10</v>
      </c>
      <c r="Q16" s="8" t="s">
        <v>45</v>
      </c>
      <c r="R16" s="8" t="s">
        <v>188</v>
      </c>
      <c r="S16" s="8" t="s">
        <v>45</v>
      </c>
      <c r="T16" s="8" t="s">
        <v>188</v>
      </c>
      <c r="U16" s="8" t="s">
        <v>119</v>
      </c>
      <c r="V16" s="8" t="s">
        <v>234</v>
      </c>
      <c r="W16" s="8" t="s">
        <v>288</v>
      </c>
      <c r="X16" s="8" t="s">
        <v>272</v>
      </c>
      <c r="Y16" s="8">
        <v>10</v>
      </c>
      <c r="Z16" s="8" t="s">
        <v>289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63" x14ac:dyDescent="0.25">
      <c r="A17" s="8"/>
      <c r="B17" s="8"/>
      <c r="C17" s="8" t="s">
        <v>34</v>
      </c>
      <c r="D17" s="1"/>
      <c r="E17" s="8">
        <v>10</v>
      </c>
      <c r="F17" s="8" t="s">
        <v>73</v>
      </c>
      <c r="G17" s="8" t="s">
        <v>74</v>
      </c>
      <c r="H17" s="8" t="s">
        <v>45</v>
      </c>
      <c r="I17" s="8" t="s">
        <v>132</v>
      </c>
      <c r="J17" s="8" t="s">
        <v>133</v>
      </c>
      <c r="K17" s="8" t="s">
        <v>131</v>
      </c>
      <c r="L17" s="8">
        <v>10</v>
      </c>
      <c r="M17" s="8" t="s">
        <v>45</v>
      </c>
      <c r="N17" s="8" t="s">
        <v>189</v>
      </c>
      <c r="O17" s="8" t="s">
        <v>188</v>
      </c>
      <c r="P17" s="8">
        <v>10</v>
      </c>
      <c r="Q17" s="8" t="s">
        <v>45</v>
      </c>
      <c r="R17" s="8" t="s">
        <v>188</v>
      </c>
      <c r="S17" s="8" t="s">
        <v>45</v>
      </c>
      <c r="T17" s="8" t="s">
        <v>235</v>
      </c>
      <c r="U17" s="8" t="s">
        <v>119</v>
      </c>
      <c r="V17" s="8" t="s">
        <v>119</v>
      </c>
      <c r="W17" s="8" t="s">
        <v>290</v>
      </c>
      <c r="X17" s="8" t="s">
        <v>272</v>
      </c>
      <c r="Y17" s="8">
        <v>10</v>
      </c>
      <c r="Z17" s="8" t="s">
        <v>291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141.75" x14ac:dyDescent="0.25">
      <c r="A18" s="8"/>
      <c r="B18" s="8"/>
      <c r="C18" s="8" t="s">
        <v>38</v>
      </c>
      <c r="D18" s="1"/>
      <c r="E18" s="8">
        <v>10</v>
      </c>
      <c r="F18" s="8" t="s">
        <v>75</v>
      </c>
      <c r="G18" s="8" t="s">
        <v>76</v>
      </c>
      <c r="H18" s="8" t="s">
        <v>45</v>
      </c>
      <c r="I18" s="8" t="s">
        <v>134</v>
      </c>
      <c r="J18" s="8" t="s">
        <v>135</v>
      </c>
      <c r="K18" s="8" t="s">
        <v>136</v>
      </c>
      <c r="L18" s="8">
        <v>8</v>
      </c>
      <c r="M18" s="8" t="s">
        <v>45</v>
      </c>
      <c r="N18" s="8" t="s">
        <v>190</v>
      </c>
      <c r="O18" s="8" t="s">
        <v>191</v>
      </c>
      <c r="P18" s="8">
        <v>10</v>
      </c>
      <c r="Q18" s="8" t="s">
        <v>45</v>
      </c>
      <c r="R18" s="8" t="s">
        <v>236</v>
      </c>
      <c r="S18" s="8" t="s">
        <v>45</v>
      </c>
      <c r="T18" s="8" t="s">
        <v>237</v>
      </c>
      <c r="U18" s="8" t="s">
        <v>119</v>
      </c>
      <c r="V18" s="8" t="s">
        <v>59</v>
      </c>
      <c r="W18" s="8" t="s">
        <v>59</v>
      </c>
      <c r="X18" s="8" t="s">
        <v>272</v>
      </c>
      <c r="Y18" s="8">
        <v>10</v>
      </c>
      <c r="Z18" s="8" t="s">
        <v>292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110.25" x14ac:dyDescent="0.25">
      <c r="A19" s="8"/>
      <c r="B19" s="8"/>
      <c r="C19" s="8" t="s">
        <v>37</v>
      </c>
      <c r="D19" s="1"/>
      <c r="E19" s="8">
        <v>10</v>
      </c>
      <c r="F19" s="8" t="s">
        <v>77</v>
      </c>
      <c r="G19" s="8" t="s">
        <v>77</v>
      </c>
      <c r="H19" s="8" t="s">
        <v>45</v>
      </c>
      <c r="I19" s="8" t="s">
        <v>137</v>
      </c>
      <c r="J19" s="8" t="s">
        <v>138</v>
      </c>
      <c r="K19" s="8" t="s">
        <v>139</v>
      </c>
      <c r="L19" s="8">
        <v>10</v>
      </c>
      <c r="M19" s="8" t="s">
        <v>45</v>
      </c>
      <c r="N19" s="8" t="s">
        <v>192</v>
      </c>
      <c r="O19" s="8" t="s">
        <v>193</v>
      </c>
      <c r="P19" s="8">
        <v>10</v>
      </c>
      <c r="Q19" s="8" t="s">
        <v>45</v>
      </c>
      <c r="R19" s="8" t="s">
        <v>238</v>
      </c>
      <c r="S19" s="8" t="s">
        <v>45</v>
      </c>
      <c r="T19" s="8" t="s">
        <v>239</v>
      </c>
      <c r="U19" s="8" t="s">
        <v>119</v>
      </c>
      <c r="V19" s="8" t="s">
        <v>240</v>
      </c>
      <c r="W19" s="8" t="s">
        <v>293</v>
      </c>
      <c r="X19" s="8" t="s">
        <v>270</v>
      </c>
      <c r="Y19" s="8">
        <v>10</v>
      </c>
      <c r="Z19" s="8" t="s">
        <v>294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110.25" x14ac:dyDescent="0.25">
      <c r="A20" s="8"/>
      <c r="B20" s="8"/>
      <c r="C20" s="8" t="s">
        <v>34</v>
      </c>
      <c r="D20" s="1"/>
      <c r="E20" s="8">
        <v>10</v>
      </c>
      <c r="F20" s="8" t="s">
        <v>78</v>
      </c>
      <c r="G20" s="8" t="s">
        <v>79</v>
      </c>
      <c r="H20" s="8" t="s">
        <v>45</v>
      </c>
      <c r="I20" s="8" t="s">
        <v>140</v>
      </c>
      <c r="J20" s="8" t="s">
        <v>59</v>
      </c>
      <c r="K20" s="8" t="s">
        <v>141</v>
      </c>
      <c r="L20" s="8">
        <v>6</v>
      </c>
      <c r="M20" s="8" t="s">
        <v>119</v>
      </c>
      <c r="N20" s="8" t="s">
        <v>194</v>
      </c>
      <c r="O20" s="8" t="s">
        <v>59</v>
      </c>
      <c r="P20" s="8">
        <v>10</v>
      </c>
      <c r="Q20" s="8" t="s">
        <v>119</v>
      </c>
      <c r="R20" s="8" t="s">
        <v>241</v>
      </c>
      <c r="S20" s="8" t="s">
        <v>45</v>
      </c>
      <c r="T20" s="8" t="s">
        <v>59</v>
      </c>
      <c r="U20" s="8" t="s">
        <v>119</v>
      </c>
      <c r="V20" s="8" t="s">
        <v>59</v>
      </c>
      <c r="W20" s="8" t="s">
        <v>59</v>
      </c>
      <c r="X20" s="8" t="s">
        <v>265</v>
      </c>
      <c r="Y20" s="8">
        <v>10</v>
      </c>
      <c r="Z20" s="8" t="s">
        <v>295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126" x14ac:dyDescent="0.25">
      <c r="A21" s="8"/>
      <c r="B21" s="8"/>
      <c r="C21" s="8" t="s">
        <v>37</v>
      </c>
      <c r="D21" s="1"/>
      <c r="E21" s="8">
        <v>9</v>
      </c>
      <c r="F21" s="8" t="s">
        <v>80</v>
      </c>
      <c r="G21" s="8" t="s">
        <v>81</v>
      </c>
      <c r="H21" s="8" t="s">
        <v>45</v>
      </c>
      <c r="I21" s="8" t="s">
        <v>142</v>
      </c>
      <c r="J21" s="8" t="s">
        <v>143</v>
      </c>
      <c r="K21" s="8" t="s">
        <v>144</v>
      </c>
      <c r="L21" s="8">
        <v>8</v>
      </c>
      <c r="M21" s="8" t="s">
        <v>119</v>
      </c>
      <c r="N21" s="8" t="s">
        <v>195</v>
      </c>
      <c r="O21" s="8" t="s">
        <v>196</v>
      </c>
      <c r="P21" s="8">
        <v>9</v>
      </c>
      <c r="Q21" s="8" t="s">
        <v>119</v>
      </c>
      <c r="R21" s="8" t="s">
        <v>242</v>
      </c>
      <c r="S21" s="8" t="s">
        <v>45</v>
      </c>
      <c r="T21" s="8" t="s">
        <v>243</v>
      </c>
      <c r="U21" s="8" t="s">
        <v>119</v>
      </c>
      <c r="V21" s="8" t="s">
        <v>229</v>
      </c>
      <c r="W21" s="8" t="s">
        <v>296</v>
      </c>
      <c r="X21" s="8" t="s">
        <v>272</v>
      </c>
      <c r="Y21" s="8">
        <v>9</v>
      </c>
      <c r="Z21" s="8" t="s">
        <v>297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63" x14ac:dyDescent="0.25">
      <c r="A22" s="8"/>
      <c r="B22" s="8"/>
      <c r="C22" s="8" t="s">
        <v>36</v>
      </c>
      <c r="D22" s="1"/>
      <c r="E22" s="8">
        <v>10</v>
      </c>
      <c r="F22" s="8" t="s">
        <v>77</v>
      </c>
      <c r="G22" s="8" t="s">
        <v>82</v>
      </c>
      <c r="H22" s="8" t="s">
        <v>45</v>
      </c>
      <c r="I22" s="8" t="s">
        <v>145</v>
      </c>
      <c r="J22" s="8" t="s">
        <v>127</v>
      </c>
      <c r="K22" s="8" t="s">
        <v>146</v>
      </c>
      <c r="L22" s="8">
        <v>10</v>
      </c>
      <c r="M22" s="8" t="s">
        <v>45</v>
      </c>
      <c r="N22" s="8" t="s">
        <v>197</v>
      </c>
      <c r="O22" s="8" t="s">
        <v>198</v>
      </c>
      <c r="P22" s="8">
        <v>10</v>
      </c>
      <c r="Q22" s="8" t="s">
        <v>45</v>
      </c>
      <c r="R22" s="8" t="s">
        <v>244</v>
      </c>
      <c r="S22" s="8" t="s">
        <v>45</v>
      </c>
      <c r="T22" s="8" t="s">
        <v>245</v>
      </c>
      <c r="U22" s="8" t="s">
        <v>119</v>
      </c>
      <c r="V22" s="8" t="s">
        <v>119</v>
      </c>
      <c r="W22" s="8" t="s">
        <v>298</v>
      </c>
      <c r="X22" s="8" t="s">
        <v>272</v>
      </c>
      <c r="Y22" s="8">
        <v>10</v>
      </c>
      <c r="Z22" s="8" t="s">
        <v>299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63" x14ac:dyDescent="0.25">
      <c r="A23" s="8"/>
      <c r="B23" s="8"/>
      <c r="C23" s="8" t="s">
        <v>35</v>
      </c>
      <c r="D23" s="1"/>
      <c r="E23" s="8">
        <v>10</v>
      </c>
      <c r="F23" s="8" t="s">
        <v>83</v>
      </c>
      <c r="G23" s="8" t="s">
        <v>84</v>
      </c>
      <c r="H23" s="8" t="s">
        <v>45</v>
      </c>
      <c r="I23" s="8" t="s">
        <v>147</v>
      </c>
      <c r="J23" s="8" t="s">
        <v>148</v>
      </c>
      <c r="K23" s="8" t="s">
        <v>149</v>
      </c>
      <c r="L23" s="8">
        <v>10</v>
      </c>
      <c r="M23" s="8" t="s">
        <v>45</v>
      </c>
      <c r="N23" s="8" t="s">
        <v>127</v>
      </c>
      <c r="O23" s="8" t="s">
        <v>171</v>
      </c>
      <c r="P23" s="8">
        <v>10</v>
      </c>
      <c r="Q23" s="8" t="s">
        <v>45</v>
      </c>
      <c r="R23" s="8" t="s">
        <v>246</v>
      </c>
      <c r="S23" s="8" t="s">
        <v>45</v>
      </c>
      <c r="T23" s="8" t="s">
        <v>247</v>
      </c>
      <c r="U23" s="8" t="s">
        <v>119</v>
      </c>
      <c r="V23" s="8" t="s">
        <v>119</v>
      </c>
      <c r="W23" s="8" t="s">
        <v>300</v>
      </c>
      <c r="X23" s="8" t="s">
        <v>265</v>
      </c>
      <c r="Y23" s="8">
        <v>10</v>
      </c>
      <c r="Z23" s="8" t="s">
        <v>301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63" x14ac:dyDescent="0.25">
      <c r="A24" s="8"/>
      <c r="B24" s="8"/>
      <c r="C24" s="8" t="s">
        <v>34</v>
      </c>
      <c r="D24" s="1"/>
      <c r="E24" s="8">
        <v>10</v>
      </c>
      <c r="F24" s="8" t="s">
        <v>82</v>
      </c>
      <c r="G24" s="8" t="s">
        <v>82</v>
      </c>
      <c r="H24" s="8" t="s">
        <v>45</v>
      </c>
      <c r="I24" s="8" t="s">
        <v>150</v>
      </c>
      <c r="J24" s="8" t="s">
        <v>151</v>
      </c>
      <c r="K24" s="8" t="s">
        <v>152</v>
      </c>
      <c r="L24" s="8">
        <v>10</v>
      </c>
      <c r="M24" s="8" t="s">
        <v>45</v>
      </c>
      <c r="N24" s="8" t="s">
        <v>152</v>
      </c>
      <c r="O24" s="8" t="s">
        <v>152</v>
      </c>
      <c r="P24" s="8">
        <v>10</v>
      </c>
      <c r="Q24" s="8" t="s">
        <v>45</v>
      </c>
      <c r="R24" s="8" t="s">
        <v>248</v>
      </c>
      <c r="S24" s="8" t="s">
        <v>45</v>
      </c>
      <c r="T24" s="8" t="s">
        <v>152</v>
      </c>
      <c r="U24" s="8" t="s">
        <v>119</v>
      </c>
      <c r="V24" s="8" t="s">
        <v>152</v>
      </c>
      <c r="W24" s="8" t="s">
        <v>152</v>
      </c>
      <c r="X24" s="8" t="s">
        <v>265</v>
      </c>
      <c r="Y24" s="8">
        <v>10</v>
      </c>
      <c r="Z24" s="8" t="s">
        <v>302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110.25" x14ac:dyDescent="0.25">
      <c r="A25" s="8"/>
      <c r="B25" s="8"/>
      <c r="C25" s="8" t="s">
        <v>40</v>
      </c>
      <c r="D25" s="1"/>
      <c r="E25" s="8">
        <v>10</v>
      </c>
      <c r="F25" s="8" t="s">
        <v>85</v>
      </c>
      <c r="G25" s="8" t="s">
        <v>86</v>
      </c>
      <c r="H25" s="8" t="s">
        <v>45</v>
      </c>
      <c r="I25" s="8" t="s">
        <v>153</v>
      </c>
      <c r="J25" s="8" t="s">
        <v>154</v>
      </c>
      <c r="K25" s="8" t="s">
        <v>155</v>
      </c>
      <c r="L25" s="8">
        <v>10</v>
      </c>
      <c r="M25" s="8" t="s">
        <v>45</v>
      </c>
      <c r="N25" s="8" t="s">
        <v>199</v>
      </c>
      <c r="O25" s="8" t="s">
        <v>200</v>
      </c>
      <c r="P25" s="8">
        <v>10</v>
      </c>
      <c r="Q25" s="8" t="s">
        <v>45</v>
      </c>
      <c r="R25" s="8" t="s">
        <v>249</v>
      </c>
      <c r="S25" s="8" t="s">
        <v>45</v>
      </c>
      <c r="T25" s="8" t="s">
        <v>250</v>
      </c>
      <c r="U25" s="8" t="s">
        <v>119</v>
      </c>
      <c r="V25" s="8" t="s">
        <v>251</v>
      </c>
      <c r="W25" s="8" t="s">
        <v>199</v>
      </c>
      <c r="X25" s="8" t="s">
        <v>265</v>
      </c>
      <c r="Y25" s="8">
        <v>10</v>
      </c>
      <c r="Z25" s="8" t="s">
        <v>303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47.25" x14ac:dyDescent="0.25">
      <c r="A26" s="8"/>
      <c r="B26" s="8"/>
      <c r="C26" s="8" t="s">
        <v>36</v>
      </c>
      <c r="D26" s="1"/>
      <c r="E26" s="8">
        <v>6</v>
      </c>
      <c r="F26" s="8" t="s">
        <v>87</v>
      </c>
      <c r="G26" s="8" t="s">
        <v>88</v>
      </c>
      <c r="H26" s="8" t="s">
        <v>45</v>
      </c>
      <c r="I26" s="8" t="s">
        <v>156</v>
      </c>
      <c r="J26" s="8" t="s">
        <v>127</v>
      </c>
      <c r="K26" s="8" t="s">
        <v>157</v>
      </c>
      <c r="L26" s="8">
        <v>6</v>
      </c>
      <c r="M26" s="8" t="s">
        <v>119</v>
      </c>
      <c r="N26" s="8" t="s">
        <v>201</v>
      </c>
      <c r="O26" s="8" t="s">
        <v>193</v>
      </c>
      <c r="P26" s="8">
        <v>7</v>
      </c>
      <c r="Q26" s="8" t="s">
        <v>45</v>
      </c>
      <c r="R26" s="8" t="s">
        <v>252</v>
      </c>
      <c r="S26" s="8" t="s">
        <v>45</v>
      </c>
      <c r="T26" s="8" t="s">
        <v>253</v>
      </c>
      <c r="U26" s="8" t="s">
        <v>45</v>
      </c>
      <c r="V26" s="8" t="s">
        <v>254</v>
      </c>
      <c r="W26" s="8" t="s">
        <v>304</v>
      </c>
      <c r="X26" s="8" t="s">
        <v>270</v>
      </c>
      <c r="Y26" s="8">
        <v>9</v>
      </c>
      <c r="Z26" s="8" t="s">
        <v>305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63" x14ac:dyDescent="0.25">
      <c r="A27" s="8"/>
      <c r="B27" s="8"/>
      <c r="C27" s="8" t="s">
        <v>41</v>
      </c>
      <c r="D27" s="1"/>
      <c r="E27" s="8">
        <v>10</v>
      </c>
      <c r="F27" s="8" t="s">
        <v>89</v>
      </c>
      <c r="G27" s="8" t="s">
        <v>90</v>
      </c>
      <c r="H27" s="8" t="s">
        <v>45</v>
      </c>
      <c r="I27" s="8" t="s">
        <v>158</v>
      </c>
      <c r="J27" s="8" t="s">
        <v>127</v>
      </c>
      <c r="K27" s="8" t="s">
        <v>159</v>
      </c>
      <c r="L27" s="8">
        <v>9</v>
      </c>
      <c r="M27" s="8" t="s">
        <v>45</v>
      </c>
      <c r="N27" s="8" t="s">
        <v>202</v>
      </c>
      <c r="O27" s="8" t="s">
        <v>171</v>
      </c>
      <c r="P27" s="8">
        <v>10</v>
      </c>
      <c r="Q27" s="8" t="s">
        <v>45</v>
      </c>
      <c r="R27" s="8" t="s">
        <v>255</v>
      </c>
      <c r="S27" s="8" t="s">
        <v>45</v>
      </c>
      <c r="T27" s="8" t="s">
        <v>256</v>
      </c>
      <c r="U27" s="8" t="s">
        <v>119</v>
      </c>
      <c r="V27" s="8" t="s">
        <v>257</v>
      </c>
      <c r="W27" s="8" t="s">
        <v>306</v>
      </c>
      <c r="X27" s="8" t="s">
        <v>272</v>
      </c>
      <c r="Y27" s="8">
        <v>10</v>
      </c>
      <c r="Z27" s="8" t="s">
        <v>307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63" x14ac:dyDescent="0.25">
      <c r="A28" s="8"/>
      <c r="B28" s="8"/>
      <c r="C28" s="8" t="s">
        <v>42</v>
      </c>
      <c r="D28" s="1"/>
      <c r="E28" s="8">
        <v>10</v>
      </c>
      <c r="F28" s="8" t="s">
        <v>91</v>
      </c>
      <c r="G28" s="8" t="s">
        <v>92</v>
      </c>
      <c r="H28" s="8" t="s">
        <v>45</v>
      </c>
      <c r="I28" s="8" t="s">
        <v>160</v>
      </c>
      <c r="J28" s="8" t="s">
        <v>161</v>
      </c>
      <c r="K28" s="8" t="s">
        <v>162</v>
      </c>
      <c r="L28" s="8">
        <v>6</v>
      </c>
      <c r="M28" s="8" t="s">
        <v>45</v>
      </c>
      <c r="N28" s="8" t="s">
        <v>203</v>
      </c>
      <c r="O28" s="8" t="s">
        <v>173</v>
      </c>
      <c r="P28" s="8">
        <v>10</v>
      </c>
      <c r="Q28" s="8" t="s">
        <v>45</v>
      </c>
      <c r="R28" s="8" t="s">
        <v>258</v>
      </c>
      <c r="S28" s="8" t="s">
        <v>45</v>
      </c>
      <c r="T28" s="8" t="s">
        <v>259</v>
      </c>
      <c r="U28" s="8" t="s">
        <v>119</v>
      </c>
      <c r="V28" s="8" t="s">
        <v>260</v>
      </c>
      <c r="W28" s="8" t="s">
        <v>308</v>
      </c>
      <c r="X28" s="8" t="s">
        <v>265</v>
      </c>
      <c r="Y28" s="8">
        <v>6</v>
      </c>
      <c r="Z28" s="8" t="s">
        <v>264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63" x14ac:dyDescent="0.25">
      <c r="A29" s="8"/>
      <c r="B29" s="8"/>
      <c r="C29" s="8" t="s">
        <v>38</v>
      </c>
      <c r="D29" s="1"/>
      <c r="E29" s="8">
        <v>10</v>
      </c>
      <c r="F29" s="8" t="s">
        <v>93</v>
      </c>
      <c r="G29" s="8" t="s">
        <v>82</v>
      </c>
      <c r="H29" s="8" t="s">
        <v>45</v>
      </c>
      <c r="I29" s="8" t="s">
        <v>163</v>
      </c>
      <c r="J29" s="8" t="s">
        <v>164</v>
      </c>
      <c r="K29" s="8" t="s">
        <v>165</v>
      </c>
      <c r="L29" s="8">
        <v>5</v>
      </c>
      <c r="M29" s="8" t="s">
        <v>45</v>
      </c>
      <c r="N29" s="8" t="s">
        <v>204</v>
      </c>
      <c r="O29" s="8" t="s">
        <v>205</v>
      </c>
      <c r="P29" s="8">
        <v>10</v>
      </c>
      <c r="Q29" s="8" t="s">
        <v>45</v>
      </c>
      <c r="R29" s="8" t="s">
        <v>261</v>
      </c>
      <c r="S29" s="8" t="s">
        <v>45</v>
      </c>
      <c r="T29" s="8" t="s">
        <v>262</v>
      </c>
      <c r="U29" s="8" t="s">
        <v>119</v>
      </c>
      <c r="V29" s="8" t="s">
        <v>263</v>
      </c>
      <c r="W29" s="8" t="s">
        <v>309</v>
      </c>
      <c r="X29" s="8" t="s">
        <v>265</v>
      </c>
      <c r="Y29" s="8">
        <v>10</v>
      </c>
      <c r="Z29" s="8" t="s">
        <v>310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F4" sqref="F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9" t="s">
        <v>6</v>
      </c>
      <c r="C2" s="9"/>
      <c r="D2" s="9"/>
      <c r="E2" s="9"/>
      <c r="F2" s="9"/>
      <c r="G2" s="9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7">
        <f>AVERAGE('Исходные данные (итог. анкета)'!E:E)</f>
        <v>9.6785714285714288</v>
      </c>
      <c r="C4" s="7">
        <f>AVERAGE('Исходные данные (итог. анкета)'!L:L)</f>
        <v>8.8214285714285712</v>
      </c>
      <c r="D4" s="7">
        <f>AVERAGE('Исходные данные (итог. анкета)'!P:P)</f>
        <v>9.6785714285714288</v>
      </c>
      <c r="E4" s="6">
        <f>COUNTIF('Исходные данные (итог. анкета)'!U:U,"нет")/COUNTA('Исходные данные (итог. анкета)'!U2:U499)</f>
        <v>0.9642857142857143</v>
      </c>
      <c r="F4" s="7">
        <f>AVERAGE('Исходные данные (итог. анкета)'!Y:Y)</f>
        <v>9.6428571428571423</v>
      </c>
      <c r="G4" s="7">
        <f>AVERAGE(B4:D4,F4)</f>
        <v>9.4553571428571423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2026-07-01T09:30:26Z</dcterms:modified>
</cp:coreProperties>
</file>