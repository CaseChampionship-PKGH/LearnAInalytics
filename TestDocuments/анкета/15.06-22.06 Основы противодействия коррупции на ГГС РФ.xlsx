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.tarkhanova\Desktop\2026\анкета\"/>
    </mc:Choice>
  </mc:AlternateContent>
  <bookViews>
    <workbookView xWindow="0" yWindow="0" windowWidth="28800" windowHeight="12030"/>
  </bookViews>
  <sheets>
    <sheet name="Исходные данные (итог. анкета)" sheetId="1" r:id="rId1"/>
    <sheet name="Ключевые показатели" sheetId="2" r:id="rId2"/>
  </sheets>
  <definedNames>
    <definedName name="_xlnm._FilterDatabase" localSheetId="0" hidden="1">'Исходные данные (итог. анкета)'!$A$1:$Z$36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4" i="2" l="1"/>
  <c r="B4" i="2"/>
  <c r="E4" i="2"/>
  <c r="D4" i="2"/>
  <c r="C4" i="2"/>
  <c r="G4" i="2" l="1"/>
</calcChain>
</file>

<file path=xl/sharedStrings.xml><?xml version="1.0" encoding="utf-8"?>
<sst xmlns="http://schemas.openxmlformats.org/spreadsheetml/2006/main" count="953" uniqueCount="286">
  <si>
    <t>Полезность программы</t>
  </si>
  <si>
    <t>Практико-ориентированность программы</t>
  </si>
  <si>
    <t>Доступность материалов по программе</t>
  </si>
  <si>
    <t>Вовлечённость в образовательный процесс</t>
  </si>
  <si>
    <t>Общая оценка удовлетворённости</t>
  </si>
  <si>
    <t>Взаимодействие с командой КУ</t>
  </si>
  <si>
    <t>Количественные показатели по программе</t>
  </si>
  <si>
    <t>Ф.И.О.</t>
  </si>
  <si>
    <t>Укажите, пожалуйста, место Вашей работы.</t>
  </si>
  <si>
    <t>К какой категории относится Ваша должность?</t>
  </si>
  <si>
    <t>Прокомментируйте, пожалуйста, какие вопросы были для Вас наиболее актуальны и почему?</t>
  </si>
  <si>
    <t>Какие знания, умения и навыки, полученные на программе, Вы сможете применить в своей деятельности?</t>
  </si>
  <si>
    <t>Был ли достигнут ожидаемый эффект от обучения? Если нет, напишите, пожалуйста, почему?</t>
  </si>
  <si>
    <t>Какие темы и (или) вопросы можно исключить из данной программы без потери полезности?</t>
  </si>
  <si>
    <t>Какими темами и (или) вопросами важно дополнить программу для усиления ее полезности и актуальности?</t>
  </si>
  <si>
    <t>Достаточно ли практических заданий, примеров, разборов ситуаций? Если нет, какие темы и (или) вопросы требуют большей практической отработки?</t>
  </si>
  <si>
    <t>Что бы Вы хотели изменить в организации практических занятий, чтобы они стали полезными для Вашей деятельности?</t>
  </si>
  <si>
    <t>Сохраняется ли правильная последовательность тем и логика изложения материала?</t>
  </si>
  <si>
    <t>Могли ли Вы на занятии задать интересующие Вас вопросы по изучаемой теме и получить исчерпывающие ответы?</t>
  </si>
  <si>
    <t>Чувствовали ли Вы свою отстраненность от процесса, потерю интереса во время обучения? Если да, в какие моменты обучения они возникали?</t>
  </si>
  <si>
    <t>Что могло бы повысить Вашу вовлеченность в обучение?</t>
  </si>
  <si>
    <t xml:space="preserve">Если бы у Вас была возможность выбрать формат обучения по данной программе, какой бы Вы предпочли? </t>
  </si>
  <si>
    <t>Прокомментируйте, пожалуйста, Ваш выбор.</t>
  </si>
  <si>
    <r>
      <rPr>
        <b/>
        <sz val="11"/>
        <color theme="1"/>
        <rFont val="Calibri"/>
        <family val="2"/>
        <charset val="204"/>
        <scheme val="minor"/>
      </rPr>
      <t xml:space="preserve">Насколько программа обучения полезна для Вашей работы?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 xml:space="preserve">Оцените, пожалуйста, полезность программы по 10-балльной шкале, где 1 — программа совершенно бесполезна, 10 — программа очень полезна </t>
    </r>
  </si>
  <si>
    <r>
      <rPr>
        <b/>
        <sz val="11"/>
        <color theme="1"/>
        <rFont val="Calibri"/>
        <family val="2"/>
        <charset val="204"/>
        <scheme val="minor"/>
      </rPr>
      <t xml:space="preserve">Как Вы оцениваете практико-ориентированность программы?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>Оцените, пожалуйста, практическую часть по 10-балльной шкале, где 1 — были лекции, практики почти не было, 10 — практических заданий и (или) примеров было достаточно.</t>
    </r>
  </si>
  <si>
    <r>
      <rPr>
        <b/>
        <sz val="11"/>
        <color theme="1"/>
        <rFont val="Calibri"/>
        <family val="2"/>
        <charset val="204"/>
        <scheme val="minor"/>
      </rPr>
      <t>Насколько Вы оцениваете доступность материала программы обучения?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>Оцените, пожалуйста, доступность материала программы по 10-балльной шкале, где 1 — я с трудом понял (поняла), о чем идет речь; 10 — материал был предельно доступным и понятным.</t>
    </r>
  </si>
  <si>
    <r>
      <t xml:space="preserve">Насколько эффективным было взаимодействие с командой Корпоративного университета на протяжении всего периода обучения?
</t>
    </r>
    <r>
      <rPr>
        <i/>
        <sz val="11"/>
        <color theme="1"/>
        <rFont val="Calibri"/>
        <family val="2"/>
        <charset val="204"/>
        <scheme val="minor"/>
      </rPr>
      <t>Оцените, пожалуйста, взаимодействие по 10 — балльной шкале, где 1 — взаимодействие было неэффективным, 10 — это была отличная командная работа на результат!</t>
    </r>
  </si>
  <si>
    <t>да</t>
  </si>
  <si>
    <t>нет</t>
  </si>
  <si>
    <t>Напишите, пожалуйста, почему</t>
  </si>
  <si>
    <t>-</t>
  </si>
  <si>
    <t>Какие темы и (или) вопросы требуют большей практической отработки? Напишите, пожалуйста, почему</t>
  </si>
  <si>
    <t xml:space="preserve"> Напишите, пожалуйста, подробно</t>
  </si>
  <si>
    <t>Напишите, пожалуйста, подробно</t>
  </si>
  <si>
    <t>Если да, в какие моменты обучения они возникали</t>
  </si>
  <si>
    <t>очное обучение в аудиториях Корпоративного университета</t>
  </si>
  <si>
    <t>смешанное обучение: частично очно, частично дистанционно</t>
  </si>
  <si>
    <t>все</t>
  </si>
  <si>
    <t>руководитель</t>
  </si>
  <si>
    <t>специалист</t>
  </si>
  <si>
    <t>Почему Вы решили пройти обучение по данной программе?</t>
  </si>
  <si>
    <t>Направил отдел кадров</t>
  </si>
  <si>
    <t>---</t>
  </si>
  <si>
    <t>полностью дистанционный формат обучения</t>
  </si>
  <si>
    <t>Мне интересно узнавать все новое и восстанавливать знания, которые были</t>
  </si>
  <si>
    <t>Интересно было повторить все вопросы, актуальных не было, т.к.  я не работаю в данных областях</t>
  </si>
  <si>
    <t>все, теоретически</t>
  </si>
  <si>
    <t>Раздел 1 был самым длинным и скучным с моей точки зрения, его можно сократить</t>
  </si>
  <si>
    <t>У меня нет предложений по данному вопросу</t>
  </si>
  <si>
    <t>хотелось бы больше практических разборов(кейсов)</t>
  </si>
  <si>
    <t>больше практических заданий в процессе обучения</t>
  </si>
  <si>
    <t>Очень бы хотелось 
1) Больше времени на прохождение тестирования/обучения
2) Дистанционный формат обучения, т.к. и отрываться от работы не хочется совершенно и пройти обучение интересно</t>
  </si>
  <si>
    <t>направлена на обучение отделом кадров</t>
  </si>
  <si>
    <t>речевая агрессия и манипуляция в деловом общении</t>
  </si>
  <si>
    <t>методы преодоления манипуляции</t>
  </si>
  <si>
    <t>все темы и вопросы полезны</t>
  </si>
  <si>
    <t>программа полезна и актуальна в представленном объеме</t>
  </si>
  <si>
    <t>практические занятия достаточно актуальны для моей профессиональной деятельности в связи с чем вносить изменения не требуется</t>
  </si>
  <si>
    <t>максимально была вовлечена в процесс обучения</t>
  </si>
  <si>
    <t>направил отдел кадров</t>
  </si>
  <si>
    <t>манипуляция в деловом общении</t>
  </si>
  <si>
    <t>манипулятивные приемы</t>
  </si>
  <si>
    <t>ничего</t>
  </si>
  <si>
    <t>затрудняюсь ответить</t>
  </si>
  <si>
    <t>на протяжении всего периода команда была на связи и готова помочь</t>
  </si>
  <si>
    <t>Плановое обучение</t>
  </si>
  <si>
    <t>Умение управлять эмоциями</t>
  </si>
  <si>
    <t>почти все</t>
  </si>
  <si>
    <t>проигрывание сцен</t>
  </si>
  <si>
    <t>примерами из жизни преподавателей</t>
  </si>
  <si>
    <t>Время занятий</t>
  </si>
  <si>
    <t>Открытые преподаватели.</t>
  </si>
  <si>
    <t>обеспечивающий специалист</t>
  </si>
  <si>
    <t>Непосредственно касается работы и обязанности которые я исполняю.</t>
  </si>
  <si>
    <t>Манипуляции.Каждый день на работе сталкиваюсь как со стороны коллег так и начальства.</t>
  </si>
  <si>
    <t>Все</t>
  </si>
  <si>
    <t>Никакие,все очень здорово!</t>
  </si>
  <si>
    <t>Вместо теста,я бы назначила еще две лекции у С.М.Шингаева))</t>
  </si>
  <si>
    <t>Это была отличная командная работа!Спасибо!!Лучшее обучение которое я проходила у вас)</t>
  </si>
  <si>
    <t>направили</t>
  </si>
  <si>
    <t>психологические приемы</t>
  </si>
  <si>
    <t>нравиться обучаться и узнавать новое.</t>
  </si>
  <si>
    <t>Способы речевой агрессии, полезная для жизни и работы информация и навыки.</t>
  </si>
  <si>
    <t>Способы речевой агрессии</t>
  </si>
  <si>
    <t>все нужно</t>
  </si>
  <si>
    <t>Занятия полностью онлайн</t>
  </si>
  <si>
    <t>все понравилось ! спасибо.</t>
  </si>
  <si>
    <t>Долг службы.</t>
  </si>
  <si>
    <t>Занятия на тему: "Эффективные техники противодействия манипуляциями при взаимодействии с гражданами и контрагентами" - были самими полезными для меня. Поскольку знания полученный мною можно применить не только на работе, но и в личной жизни.</t>
  </si>
  <si>
    <t>Стратегии поведения в ситуации речевой агрессии.</t>
  </si>
  <si>
    <t>Рекомендую оставить все как есть, полезно было все.</t>
  </si>
  <si>
    <t>Не хватило практики на первом занятии (лекция Домокура А.Н.) Информация в целом полезная для напоминания, но если показали бы заполнение декларации в случае превышения расходов семьи за последние 3 года. (думаю многие берут ипотеку или кредит - это актуально для подачи верных сведений)</t>
  </si>
  <si>
    <t>Пока не могу сказать, что можно добавить, так как мало опыта работы.</t>
  </si>
  <si>
    <t>В настоящий момент достаточно мотивации.</t>
  </si>
  <si>
    <t>Спасибо куратору! Информация о занятиях была подана в срок. На личные вопросы куратор отвечала молниеносно.</t>
  </si>
  <si>
    <t>получение необходимых для профессионального роста знаний</t>
  </si>
  <si>
    <t>Актуальная тема.</t>
  </si>
  <si>
    <t>Конфликт интересов</t>
  </si>
  <si>
    <t>Практические навыки при решении жизненных ситуаций.</t>
  </si>
  <si>
    <t>Больше практических занятий.</t>
  </si>
  <si>
    <t>Отличная командная работа.</t>
  </si>
  <si>
    <t>Вновь принят в ОИВ</t>
  </si>
  <si>
    <t>Методы манипуляции, по роду службы работаем с большим количеством граждан.</t>
  </si>
  <si>
    <t>Исключать ничего не нужно</t>
  </si>
  <si>
    <t>Затрудняюсь ответить</t>
  </si>
  <si>
    <t>Все оптимально</t>
  </si>
  <si>
    <t>Вовлеченность слушателей оптимальна</t>
  </si>
  <si>
    <t>Освежить свои знания, приобрести новые</t>
  </si>
  <si>
    <t/>
  </si>
  <si>
    <t>Актуальность темы</t>
  </si>
  <si>
    <t>Затрудняюсь ответить о наиболее актуальных вопросах, потому что курс был с первого до последнее занятия очень интересным, актуально буквально все!</t>
  </si>
  <si>
    <t>Коммуникативные навыки, актуализированы знания по правовым вопросам</t>
  </si>
  <si>
    <t>Курс очень самодостаточный, ничего убирать не нужно</t>
  </si>
  <si>
    <t>Курс целостный</t>
  </si>
  <si>
    <t>Ничего не хотела бы менять</t>
  </si>
  <si>
    <t>Я была очень вовлечена</t>
  </si>
  <si>
    <t>Информационное сопровождение как всегда на высоком уровне: своевременное оповещение, несколько источников для коммуникации, доброжелательный вежливый куратор</t>
  </si>
  <si>
    <t>По рекомендации отдела государственной службы и кадров</t>
  </si>
  <si>
    <t>Вопросы сдачи справки о доходах и расходах</t>
  </si>
  <si>
    <t>Психологический блок</t>
  </si>
  <si>
    <t>повышение знаний</t>
  </si>
  <si>
    <t>не было вопросов</t>
  </si>
  <si>
    <t>речевая агрессия и манипуляции в общении</t>
  </si>
  <si>
    <t>все темы актуальны</t>
  </si>
  <si>
    <t>эмоциональное выгорание сотрудников на работе</t>
  </si>
  <si>
    <t>ни чего</t>
  </si>
  <si>
    <t>Доктор психологических наук, преподаватель Шингаев С.М.</t>
  </si>
  <si>
    <t>Доступность, доброжелательность, понимание  и усвоение материала по обучению.</t>
  </si>
  <si>
    <t>Все вопросы.</t>
  </si>
  <si>
    <t>Все знания и умения, я смогу применить.</t>
  </si>
  <si>
    <t>__</t>
  </si>
  <si>
    <t>_</t>
  </si>
  <si>
    <t>Актуализация знаний по теме</t>
  </si>
  <si>
    <t>Все знания были актуальны</t>
  </si>
  <si>
    <t>Таких нет</t>
  </si>
  <si>
    <t>Все отлично, спасибо за обучение</t>
  </si>
  <si>
    <t>Согласно утвержденному плану, актуализация знаний.</t>
  </si>
  <si>
    <t>Программа курса полезна в целом.</t>
  </si>
  <si>
    <t>Знания по вопросам противодействия коррупции.</t>
  </si>
  <si>
    <t>Осуществлена актуализация знаний с учетом изменений в законодательстве.</t>
  </si>
  <si>
    <t>Программа не нуждается в сокращении.</t>
  </si>
  <si>
    <t>Углубленное изучение методических рекомендаций по профилактике коррупционных нарушений при закупке товаров, работ, услуг.</t>
  </si>
  <si>
    <t>Проведение очных занятий во внерабочее время (с 18:00) в целях минимизации отрыва от работы.</t>
  </si>
  <si>
    <t>Программа предусматривает глубокую вовлеченность.</t>
  </si>
  <si>
    <t>Со стороны Корпоративного университета обеспечено оперативное взаимодействие и предоставление информации по вопросам обучения.</t>
  </si>
  <si>
    <t>Необходимость</t>
  </si>
  <si>
    <t>Вопросы коррупции</t>
  </si>
  <si>
    <t>Навыки манипуляции и ее отражения</t>
  </si>
  <si>
    <t>Дополнение не требуется</t>
  </si>
  <si>
    <t>Ничего</t>
  </si>
  <si>
    <t>Вовлеченность была на максимум</t>
  </si>
  <si>
    <t>Служебная необходимость, предписанная обязанность</t>
  </si>
  <si>
    <t>Вопросы психологического взаимодействия с потенциальным взяткодателем с целью эффективного противодействия манипулятивным приемам</t>
  </si>
  <si>
    <t>Противодействие манипуляциям, понимание ответственности перед законом за отсутствие определенных действий/бездействие при возникновении конфликта интересов.</t>
  </si>
  <si>
    <t>Оставить все как есть</t>
  </si>
  <si>
    <t>Нет предложений по дополнению программы. Материалы носят исчерпывающий характер</t>
  </si>
  <si>
    <t>Нет предложений</t>
  </si>
  <si>
    <t>Наличие кейсов рассматриваемых при участии преподавателя, ситуаций разыгрываемых между слушателями.</t>
  </si>
  <si>
    <t>Высокий уровень подготовки и организации мероприятий обучения</t>
  </si>
  <si>
    <t>Я решила пройти обучение по данной программе, потому что считаю, что полученный опыт поможет расширить профессиональные компетенции, повысить эффективность.</t>
  </si>
  <si>
    <t>Все вопросы, изученные в процессе прохождения курса, актуальны и полезны. Наиболее интересными для меня были вопросы, связанные с изучением особенностей речевой агрессии и эффективных техник противодействия манипуляциям.</t>
  </si>
  <si>
    <t>Выделить что-то конкретное затрудняюсь. На программе получен комплекс знаний и практических навыков, которые я смогу применять в своей деятельности.</t>
  </si>
  <si>
    <t>Затрудняюсь ответить на данный вопрос. Все темы курса интересные и полезные.</t>
  </si>
  <si>
    <t>Взаимодействие с командой Корпоративного университета на протяжении всего периода обучения было высокоэффективным (расписание, доступ к ресурсам, организация процессов обучения).</t>
  </si>
  <si>
    <t>актуализация знаний по профилактике и противодействию коррупции</t>
  </si>
  <si>
    <t>манипуляции и примеры поведения (реагирования) в той или иной ситуации</t>
  </si>
  <si>
    <t>восполнены знания по противодействию коррупции</t>
  </si>
  <si>
    <t>все важно и интересно</t>
  </si>
  <si>
    <t>больше реальных примеров, кейсов</t>
  </si>
  <si>
    <t>начинать занятия с 9.00</t>
  </si>
  <si>
    <t>меньшая загруженность на работе.</t>
  </si>
  <si>
    <t>При возникающих вопросах куратор обучения подсказывал решение</t>
  </si>
  <si>
    <t>Интересная тема</t>
  </si>
  <si>
    <t>Все вопросы, кроме коррупции в сфере закупок</t>
  </si>
  <si>
    <t>Никакие</t>
  </si>
  <si>
    <t>Никакими</t>
  </si>
  <si>
    <t>Все понятно. Вопросов не возникало</t>
  </si>
  <si>
    <t>повышение квалификациии</t>
  </si>
  <si>
    <t>заполнение декларации</t>
  </si>
  <si>
    <t>По направлению работодателя</t>
  </si>
  <si>
    <t>Вопросы про манипуляцию, так как в повседневной жизни очень часто сталкиваешься с подобным.</t>
  </si>
  <si>
    <t>Не подвергаться манипуляциям.</t>
  </si>
  <si>
    <t>Все вопросы были полезны.</t>
  </si>
  <si>
    <t>Программа не требует усиления.</t>
  </si>
  <si>
    <t>Практические задания были на высоте.</t>
  </si>
  <si>
    <t>Вовлеченность была на высоком уровне.</t>
  </si>
  <si>
    <t>Спасибо, все отлично.</t>
  </si>
  <si>
    <t>Отправил отдел кадров</t>
  </si>
  <si>
    <t>Прикладная проработка материала. Возможность посмотреть на ситуацию со стороны, обсуждения на что стоит обратить внимание</t>
  </si>
  <si>
    <t>механизмы распознования манипуляции и способы их защиты</t>
  </si>
  <si>
    <t>материал достаточно понятен и интересен</t>
  </si>
  <si>
    <t>проблемы помогали решить, материалы, расписания и напоминания дублировались в общий чат</t>
  </si>
  <si>
    <t>Актуальность</t>
  </si>
  <si>
    <t>Вопросы связанные с противодействием коррупции</t>
  </si>
  <si>
    <t>знание законодательства</t>
  </si>
  <si>
    <t>Нет таких</t>
  </si>
  <si>
    <t>Углубить знания по мерам противодействию коррупции и изучить более детально судебную практику по этой теме</t>
  </si>
  <si>
    <t>Запреты и ограничения, представление сведений о доходах</t>
  </si>
  <si>
    <t>Представление сведений о доходах. Конфликт интересов</t>
  </si>
  <si>
    <t>--</t>
  </si>
  <si>
    <t>Все уместно и необходимо</t>
  </si>
  <si>
    <t>Пожеланий нет</t>
  </si>
  <si>
    <t>Предложений нет</t>
  </si>
  <si>
    <t>Вовлеченность была на высоком уровне</t>
  </si>
  <si>
    <t>Команда корпоративного университета профессионально выполняет свою работу</t>
  </si>
  <si>
    <t>Ввиду необходимости регулярно проходить данное обучение</t>
  </si>
  <si>
    <t>Речевая агрессия и манипуляции</t>
  </si>
  <si>
    <t>Увеличить количество часов с преподавателем Шингаевым С.М.</t>
  </si>
  <si>
    <t>Все было отлично</t>
  </si>
  <si>
    <t>Высокая квалификация ,профессионализм лекторов, практические занятия адаптированные под возраст участников</t>
  </si>
  <si>
    <t>направили с работы</t>
  </si>
  <si>
    <t>все было актуально и интересно</t>
  </si>
  <si>
    <t>манипуляции</t>
  </si>
  <si>
    <t>длительность программы</t>
  </si>
  <si>
    <t>все супер</t>
  </si>
  <si>
    <t>Направил отдел  кадров</t>
  </si>
  <si>
    <t>*</t>
  </si>
  <si>
    <t>Все очень понравилось</t>
  </si>
  <si>
    <t>повышение самооценки</t>
  </si>
  <si>
    <t>умение слушать и анализировать полученную информацию</t>
  </si>
  <si>
    <t>всё актуально</t>
  </si>
  <si>
    <t>советник (помощник)</t>
  </si>
  <si>
    <t>программа очень полезна</t>
  </si>
  <si>
    <t>В целом все</t>
  </si>
  <si>
    <t>Все темы необходимы</t>
  </si>
  <si>
    <t>Всего достаточно</t>
  </si>
  <si>
    <t>Вовлеченность в процесс обучения была максимальной</t>
  </si>
  <si>
    <t>это была отличная командная работа на результат!</t>
  </si>
  <si>
    <t>Актуализировать знания, получение новых навыков.</t>
  </si>
  <si>
    <t>Нововведения с января 2026</t>
  </si>
  <si>
    <t>Отвечать на</t>
  </si>
  <si>
    <t>Очень интересные и необычные практические занятия</t>
  </si>
  <si>
    <t>Все необходимо</t>
  </si>
  <si>
    <t>Достаточно</t>
  </si>
  <si>
    <t>Направил Отдел государственной службы и кадров</t>
  </si>
  <si>
    <t>..</t>
  </si>
  <si>
    <t>Направлен руководством</t>
  </si>
  <si>
    <t>Все было актуально</t>
  </si>
  <si>
    <t>Приобрёл ключевые знания по профилактике коррупции</t>
  </si>
  <si>
    <t>Не нужно ничего исключать</t>
  </si>
  <si>
    <t>Курс вполне разнообразный</t>
  </si>
  <si>
    <t>Все замечательно</t>
  </si>
  <si>
    <t>Для повышения общих компетенций</t>
  </si>
  <si>
    <t>Разъяснения в изменениях законодательства в части предоставления декларации о доходах</t>
  </si>
  <si>
    <t>Все темы полезны</t>
  </si>
  <si>
    <t>Больше примеров непосредственно с разборами кейсов, касающихся антикоррупции</t>
  </si>
  <si>
    <t>Очень отзывчивая куратор, всегда на связи</t>
  </si>
  <si>
    <t>Данные знания необходимы для работы</t>
  </si>
  <si>
    <t>Умения предотвращать конфликты и не поддаваться манипуляции</t>
  </si>
  <si>
    <t>Противостояние манипуляциям</t>
  </si>
  <si>
    <t>Все темы полезные</t>
  </si>
  <si>
    <t>Психологическая помощь при выгорании</t>
  </si>
  <si>
    <t>Еще больше практических занятий</t>
  </si>
  <si>
    <t>Была вовлечена, все понравилось</t>
  </si>
  <si>
    <t>Понравилась организация процесса обучения</t>
  </si>
  <si>
    <t>.</t>
  </si>
  <si>
    <t>Знания в области противодействия коррупции необходимы при исполнении обязанностей гражданского служащего в любой сфере</t>
  </si>
  <si>
    <t>Для меня было важно освежить знания в части предоставления сведений о доходах и расходах, чтобы не допустить ошибок</t>
  </si>
  <si>
    <t>Практически все, а знания о противодействии манипуляциям смогу использовать не только в профессиональной деятельности</t>
  </si>
  <si>
    <t>Представляется, что очное обсуждение некоторых аспектов антикоррупционного законодательства было недостаточным. Некоторые темы, поданные дистанционно, весьма сложные</t>
  </si>
  <si>
    <t>Команда университета предоставила все необходимые сведения и была на связи для решения срочных вопросов</t>
  </si>
  <si>
    <t>Наиболее важная программа для государственного гражданского служащего</t>
  </si>
  <si>
    <t>Все вопросы актуальны, так как направление в целом самое важное</t>
  </si>
  <si>
    <t>Знания основ противодействия коррупции, умения противостоять, навыки действия в соответствии с законодательством</t>
  </si>
  <si>
    <t>Освобождение от рабочих обязанностей</t>
  </si>
  <si>
    <t>Ожидания оправдались, программа понравилась, взаимодействие с командой на высоком уровне</t>
  </si>
  <si>
    <t>Для меня это возможность получить применимые на практике юридические и управленческие инструменты</t>
  </si>
  <si>
    <t>Основные нормативно-правовые и иные акты в сфере противодействии коррупции.</t>
  </si>
  <si>
    <t>Противостоять манипуляциям.</t>
  </si>
  <si>
    <t>Все темы актуальны.</t>
  </si>
  <si>
    <t>Правовые аспекты защиты лиц, сообщающих о фактах коррупции.</t>
  </si>
  <si>
    <t>Нет предложений.</t>
  </si>
  <si>
    <t>множество примеров</t>
  </si>
  <si>
    <t>Взаимодействие с командой на протяжении всего периода обучения было высокоэффективным.Оно строилось на принципах открытого диалога, оперативной обратной связи и всесторонней поддержки студентов.</t>
  </si>
  <si>
    <t>Меня направили</t>
  </si>
  <si>
    <t>манипуляции, уметь их различать и уметь противостоять</t>
  </si>
  <si>
    <t>в работе не применялось</t>
  </si>
  <si>
    <t>считаю что все полезны</t>
  </si>
  <si>
    <t>занимает много свободного времени</t>
  </si>
  <si>
    <t>плановое обучение</t>
  </si>
  <si>
    <t>Ограничения и запреты;
Манипулятивные техники.</t>
  </si>
  <si>
    <t>Теоретические основы противодействия коррупции;
Распознавание манипулятивных техник.</t>
  </si>
  <si>
    <t>Все оставить</t>
  </si>
  <si>
    <t>Практические кейсы противодействия коррупции в очном формате</t>
  </si>
  <si>
    <t>Больше занятий с Сергеем Михайловичем</t>
  </si>
  <si>
    <t>Сильная методологическая база вместе с теорией и богатой практикой Сергея Михайловича позволяют ставить высокие баллы данной программе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</si>
</sst>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10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0" xfId="0" applyBorder="1" applyAlignment="1">
      <alignment vertical="top" wrapText="1"/>
    </xf>
    <xf numFmtId="0" fontId="0" fillId="0" borderId="0" xfId="0" applyBorder="1" applyAlignment="1">
      <alignment vertical="top"/>
    </xf>
    <xf numFmtId="0" fontId="0" fillId="0" borderId="0" xfId="0" applyBorder="1" applyAlignment="1">
      <alignment wrapText="1"/>
    </xf>
    <xf numFmtId="0" fontId="0" fillId="0" borderId="0" xfId="0" applyBorder="1"/>
    <xf numFmtId="0" fontId="0" fillId="0" borderId="1" xfId="0" applyBorder="1"/>
    <xf numFmtId="0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946"/>
  <sheetViews>
    <sheetView tabSelected="1" topLeftCell="A2" zoomScale="70" zoomScaleNormal="70" workbookViewId="0">
      <selection activeCell="A2" sqref="A2:B47"/>
    </sheetView>
  </sheetViews>
  <sheetFormatPr defaultRowHeight="15" x14ac:dyDescent="0.25"/>
  <cols>
    <col min="1" max="1" width="22.28515625" customWidth="1"/>
    <col min="2" max="2" width="15.28515625" customWidth="1"/>
    <col min="3" max="3" width="13.85546875" customWidth="1"/>
    <col min="4" max="4" width="23" customWidth="1"/>
    <col min="5" max="5" width="18.28515625" customWidth="1"/>
    <col min="6" max="6" width="26.85546875" customWidth="1"/>
    <col min="7" max="7" width="30.28515625" customWidth="1"/>
    <col min="8" max="8" width="14" customWidth="1"/>
    <col min="9" max="9" width="13.5703125" customWidth="1"/>
    <col min="10" max="10" width="26.5703125" customWidth="1"/>
    <col min="11" max="11" width="30.28515625" customWidth="1"/>
    <col min="12" max="12" width="14.85546875" customWidth="1"/>
    <col min="13" max="13" width="19.42578125" customWidth="1"/>
    <col min="14" max="14" width="25.7109375" customWidth="1"/>
    <col min="15" max="15" width="25.140625" customWidth="1"/>
    <col min="16" max="16" width="18.28515625" customWidth="1"/>
    <col min="17" max="17" width="16.7109375" customWidth="1"/>
    <col min="18" max="18" width="40.85546875" customWidth="1"/>
    <col min="19" max="19" width="17" customWidth="1"/>
    <col min="20" max="20" width="12" customWidth="1"/>
    <col min="21" max="21" width="15.7109375" customWidth="1"/>
    <col min="22" max="22" width="19" customWidth="1"/>
    <col min="23" max="23" width="24" customWidth="1"/>
    <col min="24" max="24" width="24.28515625" customWidth="1"/>
    <col min="25" max="25" width="21.28515625" customWidth="1"/>
    <col min="26" max="26" width="52.42578125" customWidth="1"/>
    <col min="27" max="27" width="21.140625" customWidth="1"/>
    <col min="28" max="28" width="20.28515625" customWidth="1"/>
  </cols>
  <sheetData>
    <row r="1" spans="1:106" ht="266.25" customHeight="1" x14ac:dyDescent="0.25">
      <c r="A1" s="6" t="s">
        <v>7</v>
      </c>
      <c r="B1" s="6" t="s">
        <v>8</v>
      </c>
      <c r="C1" s="6" t="s">
        <v>9</v>
      </c>
      <c r="D1" s="6" t="s">
        <v>40</v>
      </c>
      <c r="E1" s="5" t="s">
        <v>23</v>
      </c>
      <c r="F1" s="6" t="s">
        <v>10</v>
      </c>
      <c r="G1" s="6" t="s">
        <v>11</v>
      </c>
      <c r="H1" s="6" t="s">
        <v>12</v>
      </c>
      <c r="I1" s="6" t="s">
        <v>29</v>
      </c>
      <c r="J1" s="6" t="s">
        <v>13</v>
      </c>
      <c r="K1" s="6" t="s">
        <v>14</v>
      </c>
      <c r="L1" s="5" t="s">
        <v>24</v>
      </c>
      <c r="M1" s="6" t="s">
        <v>15</v>
      </c>
      <c r="N1" s="6" t="s">
        <v>31</v>
      </c>
      <c r="O1" s="6" t="s">
        <v>16</v>
      </c>
      <c r="P1" s="5" t="s">
        <v>25</v>
      </c>
      <c r="Q1" s="6" t="s">
        <v>17</v>
      </c>
      <c r="R1" s="6" t="s">
        <v>32</v>
      </c>
      <c r="S1" s="6" t="s">
        <v>18</v>
      </c>
      <c r="T1" s="6" t="s">
        <v>33</v>
      </c>
      <c r="U1" s="6" t="s">
        <v>19</v>
      </c>
      <c r="V1" s="6" t="s">
        <v>34</v>
      </c>
      <c r="W1" s="6" t="s">
        <v>20</v>
      </c>
      <c r="X1" s="6" t="s">
        <v>21</v>
      </c>
      <c r="Y1" s="6" t="s">
        <v>26</v>
      </c>
      <c r="Z1" s="6" t="s">
        <v>22</v>
      </c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</row>
    <row r="2" spans="1:106" s="10" customFormat="1" x14ac:dyDescent="0.25">
      <c r="A2" s="15"/>
      <c r="B2" s="15"/>
      <c r="C2" s="15" t="s">
        <v>39</v>
      </c>
      <c r="D2" s="15" t="s">
        <v>44</v>
      </c>
      <c r="E2" s="16">
        <v>10</v>
      </c>
      <c r="F2" s="15" t="s">
        <v>45</v>
      </c>
      <c r="G2" s="15" t="s">
        <v>46</v>
      </c>
      <c r="H2" s="17" t="s">
        <v>27</v>
      </c>
      <c r="I2" s="15" t="s">
        <v>30</v>
      </c>
      <c r="J2" s="15" t="s">
        <v>47</v>
      </c>
      <c r="K2" s="15" t="s">
        <v>48</v>
      </c>
      <c r="L2" s="16">
        <v>9</v>
      </c>
      <c r="M2" s="17" t="s">
        <v>28</v>
      </c>
      <c r="N2" s="17" t="s">
        <v>49</v>
      </c>
      <c r="O2" s="15" t="s">
        <v>30</v>
      </c>
      <c r="P2" s="16">
        <v>8</v>
      </c>
      <c r="Q2" s="17" t="s">
        <v>27</v>
      </c>
      <c r="R2" s="17" t="s">
        <v>30</v>
      </c>
      <c r="S2" s="17" t="s">
        <v>27</v>
      </c>
      <c r="T2" s="17" t="s">
        <v>30</v>
      </c>
      <c r="U2" s="17" t="s">
        <v>28</v>
      </c>
      <c r="V2" s="17" t="s">
        <v>30</v>
      </c>
      <c r="W2" s="15" t="s">
        <v>50</v>
      </c>
      <c r="X2" s="15" t="s">
        <v>43</v>
      </c>
      <c r="Y2" s="16">
        <v>9</v>
      </c>
      <c r="Z2" s="15" t="s">
        <v>51</v>
      </c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</row>
    <row r="3" spans="1:106" s="10" customFormat="1" x14ac:dyDescent="0.25">
      <c r="A3" s="15"/>
      <c r="B3" s="15"/>
      <c r="C3" s="15" t="s">
        <v>39</v>
      </c>
      <c r="D3" s="15" t="s">
        <v>52</v>
      </c>
      <c r="E3" s="16">
        <v>10</v>
      </c>
      <c r="F3" s="15" t="s">
        <v>53</v>
      </c>
      <c r="G3" s="15" t="s">
        <v>54</v>
      </c>
      <c r="H3" s="17" t="s">
        <v>27</v>
      </c>
      <c r="I3" s="15" t="s">
        <v>30</v>
      </c>
      <c r="J3" s="15" t="s">
        <v>55</v>
      </c>
      <c r="K3" s="15" t="s">
        <v>56</v>
      </c>
      <c r="L3" s="16">
        <v>10</v>
      </c>
      <c r="M3" s="17" t="s">
        <v>27</v>
      </c>
      <c r="N3" s="17" t="s">
        <v>30</v>
      </c>
      <c r="O3" s="15" t="s">
        <v>57</v>
      </c>
      <c r="P3" s="16">
        <v>10</v>
      </c>
      <c r="Q3" s="17" t="s">
        <v>27</v>
      </c>
      <c r="R3" s="17" t="s">
        <v>30</v>
      </c>
      <c r="S3" s="17" t="s">
        <v>27</v>
      </c>
      <c r="T3" s="17" t="s">
        <v>30</v>
      </c>
      <c r="U3" s="17" t="s">
        <v>28</v>
      </c>
      <c r="V3" s="17" t="s">
        <v>30</v>
      </c>
      <c r="W3" s="15" t="s">
        <v>58</v>
      </c>
      <c r="X3" s="15" t="s">
        <v>36</v>
      </c>
      <c r="Y3" s="16">
        <v>10</v>
      </c>
      <c r="Z3" s="15" t="s">
        <v>30</v>
      </c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"/>
      <c r="CX3" s="9"/>
      <c r="CY3" s="9"/>
      <c r="CZ3" s="9"/>
      <c r="DA3" s="9"/>
      <c r="DB3" s="9"/>
    </row>
    <row r="4" spans="1:106" s="10" customFormat="1" x14ac:dyDescent="0.25">
      <c r="A4" s="15"/>
      <c r="B4" s="15"/>
      <c r="C4" s="15" t="s">
        <v>39</v>
      </c>
      <c r="D4" s="15" t="s">
        <v>59</v>
      </c>
      <c r="E4" s="16">
        <v>9</v>
      </c>
      <c r="F4" s="15" t="s">
        <v>60</v>
      </c>
      <c r="G4" s="15" t="s">
        <v>61</v>
      </c>
      <c r="H4" s="17" t="s">
        <v>27</v>
      </c>
      <c r="I4" s="15" t="s">
        <v>30</v>
      </c>
      <c r="J4" s="15" t="s">
        <v>62</v>
      </c>
      <c r="K4" s="15" t="s">
        <v>63</v>
      </c>
      <c r="L4" s="16">
        <v>9</v>
      </c>
      <c r="M4" s="17" t="s">
        <v>27</v>
      </c>
      <c r="N4" s="17" t="s">
        <v>30</v>
      </c>
      <c r="O4" s="15" t="s">
        <v>62</v>
      </c>
      <c r="P4" s="16">
        <v>10</v>
      </c>
      <c r="Q4" s="17" t="s">
        <v>27</v>
      </c>
      <c r="R4" s="17" t="s">
        <v>30</v>
      </c>
      <c r="S4" s="17" t="s">
        <v>27</v>
      </c>
      <c r="T4" s="17" t="s">
        <v>30</v>
      </c>
      <c r="U4" s="17" t="s">
        <v>28</v>
      </c>
      <c r="V4" s="17" t="s">
        <v>30</v>
      </c>
      <c r="W4" s="15" t="s">
        <v>63</v>
      </c>
      <c r="X4" s="15" t="s">
        <v>36</v>
      </c>
      <c r="Y4" s="16">
        <v>10</v>
      </c>
      <c r="Z4" s="15" t="s">
        <v>64</v>
      </c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</row>
    <row r="5" spans="1:106" s="10" customFormat="1" x14ac:dyDescent="0.25">
      <c r="A5" s="15"/>
      <c r="B5" s="15"/>
      <c r="C5" s="15" t="s">
        <v>39</v>
      </c>
      <c r="D5" s="15" t="s">
        <v>65</v>
      </c>
      <c r="E5" s="16">
        <v>7</v>
      </c>
      <c r="F5" s="15" t="s">
        <v>66</v>
      </c>
      <c r="G5" s="15" t="s">
        <v>67</v>
      </c>
      <c r="H5" s="17" t="s">
        <v>27</v>
      </c>
      <c r="I5" s="15" t="s">
        <v>30</v>
      </c>
      <c r="J5" s="15" t="s">
        <v>68</v>
      </c>
      <c r="K5" s="15" t="s">
        <v>69</v>
      </c>
      <c r="L5" s="16">
        <v>8</v>
      </c>
      <c r="M5" s="17" t="s">
        <v>27</v>
      </c>
      <c r="N5" s="17" t="s">
        <v>30</v>
      </c>
      <c r="O5" s="15" t="s">
        <v>63</v>
      </c>
      <c r="P5" s="16">
        <v>8</v>
      </c>
      <c r="Q5" s="17" t="s">
        <v>27</v>
      </c>
      <c r="R5" s="17" t="s">
        <v>30</v>
      </c>
      <c r="S5" s="17" t="s">
        <v>27</v>
      </c>
      <c r="T5" s="17" t="s">
        <v>30</v>
      </c>
      <c r="U5" s="17" t="s">
        <v>28</v>
      </c>
      <c r="V5" s="17" t="s">
        <v>30</v>
      </c>
      <c r="W5" s="15" t="s">
        <v>70</v>
      </c>
      <c r="X5" s="15" t="s">
        <v>35</v>
      </c>
      <c r="Y5" s="16">
        <v>9</v>
      </c>
      <c r="Z5" s="15" t="s">
        <v>71</v>
      </c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</row>
    <row r="6" spans="1:106" s="10" customFormat="1" x14ac:dyDescent="0.25">
      <c r="A6" s="15"/>
      <c r="B6" s="15"/>
      <c r="C6" s="15" t="s">
        <v>72</v>
      </c>
      <c r="D6" s="15" t="s">
        <v>73</v>
      </c>
      <c r="E6" s="16">
        <v>10</v>
      </c>
      <c r="F6" s="15" t="s">
        <v>74</v>
      </c>
      <c r="G6" s="15" t="s">
        <v>75</v>
      </c>
      <c r="H6" s="17" t="s">
        <v>27</v>
      </c>
      <c r="I6" s="15" t="s">
        <v>30</v>
      </c>
      <c r="J6" s="15" t="s">
        <v>76</v>
      </c>
      <c r="K6" s="15" t="s">
        <v>77</v>
      </c>
      <c r="L6" s="16">
        <v>10</v>
      </c>
      <c r="M6" s="17" t="s">
        <v>27</v>
      </c>
      <c r="N6" s="17" t="s">
        <v>30</v>
      </c>
      <c r="O6" s="15" t="s">
        <v>30</v>
      </c>
      <c r="P6" s="16">
        <v>10</v>
      </c>
      <c r="Q6" s="17" t="s">
        <v>27</v>
      </c>
      <c r="R6" s="17" t="s">
        <v>30</v>
      </c>
      <c r="S6" s="17" t="s">
        <v>27</v>
      </c>
      <c r="T6" s="17" t="s">
        <v>30</v>
      </c>
      <c r="U6" s="17" t="s">
        <v>28</v>
      </c>
      <c r="V6" s="17" t="s">
        <v>30</v>
      </c>
      <c r="W6" s="15" t="s">
        <v>30</v>
      </c>
      <c r="X6" s="15" t="s">
        <v>35</v>
      </c>
      <c r="Y6" s="16">
        <v>10</v>
      </c>
      <c r="Z6" s="15" t="s">
        <v>78</v>
      </c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</row>
    <row r="7" spans="1:106" s="10" customFormat="1" x14ac:dyDescent="0.25">
      <c r="A7" s="15"/>
      <c r="B7" s="15"/>
      <c r="C7" s="15" t="s">
        <v>39</v>
      </c>
      <c r="D7" s="15" t="s">
        <v>79</v>
      </c>
      <c r="E7" s="16">
        <v>5</v>
      </c>
      <c r="F7" s="15" t="s">
        <v>30</v>
      </c>
      <c r="G7" s="15" t="s">
        <v>80</v>
      </c>
      <c r="H7" s="17" t="s">
        <v>27</v>
      </c>
      <c r="I7" s="15" t="s">
        <v>30</v>
      </c>
      <c r="J7" s="15" t="s">
        <v>30</v>
      </c>
      <c r="K7" s="15" t="s">
        <v>30</v>
      </c>
      <c r="L7" s="16">
        <v>10</v>
      </c>
      <c r="M7" s="17" t="s">
        <v>27</v>
      </c>
      <c r="N7" s="17" t="s">
        <v>30</v>
      </c>
      <c r="O7" s="15" t="s">
        <v>30</v>
      </c>
      <c r="P7" s="16">
        <v>10</v>
      </c>
      <c r="Q7" s="17" t="s">
        <v>27</v>
      </c>
      <c r="R7" s="17" t="s">
        <v>30</v>
      </c>
      <c r="S7" s="17" t="s">
        <v>27</v>
      </c>
      <c r="T7" s="17" t="s">
        <v>30</v>
      </c>
      <c r="U7" s="17" t="s">
        <v>28</v>
      </c>
      <c r="V7" s="17" t="s">
        <v>30</v>
      </c>
      <c r="W7" s="15" t="s">
        <v>30</v>
      </c>
      <c r="X7" s="15" t="s">
        <v>43</v>
      </c>
      <c r="Y7" s="16">
        <v>10</v>
      </c>
      <c r="Z7" s="15" t="s">
        <v>30</v>
      </c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</row>
    <row r="8" spans="1:106" s="10" customFormat="1" x14ac:dyDescent="0.25">
      <c r="A8" s="15"/>
      <c r="B8" s="15"/>
      <c r="C8" s="15" t="s">
        <v>39</v>
      </c>
      <c r="D8" s="15" t="s">
        <v>81</v>
      </c>
      <c r="E8" s="16">
        <v>10</v>
      </c>
      <c r="F8" s="15" t="s">
        <v>82</v>
      </c>
      <c r="G8" s="15" t="s">
        <v>83</v>
      </c>
      <c r="H8" s="17" t="s">
        <v>27</v>
      </c>
      <c r="I8" s="15" t="s">
        <v>30</v>
      </c>
      <c r="J8" s="15" t="s">
        <v>84</v>
      </c>
      <c r="K8" s="15" t="s">
        <v>30</v>
      </c>
      <c r="L8" s="16">
        <v>10</v>
      </c>
      <c r="M8" s="17" t="s">
        <v>27</v>
      </c>
      <c r="N8" s="17" t="s">
        <v>30</v>
      </c>
      <c r="O8" s="15" t="s">
        <v>85</v>
      </c>
      <c r="P8" s="16">
        <v>10</v>
      </c>
      <c r="Q8" s="17" t="s">
        <v>27</v>
      </c>
      <c r="R8" s="17" t="s">
        <v>30</v>
      </c>
      <c r="S8" s="17" t="s">
        <v>27</v>
      </c>
      <c r="T8" s="17" t="s">
        <v>30</v>
      </c>
      <c r="U8" s="17" t="s">
        <v>28</v>
      </c>
      <c r="V8" s="17" t="s">
        <v>30</v>
      </c>
      <c r="W8" s="15" t="s">
        <v>30</v>
      </c>
      <c r="X8" s="15" t="s">
        <v>43</v>
      </c>
      <c r="Y8" s="16">
        <v>10</v>
      </c>
      <c r="Z8" s="15" t="s">
        <v>86</v>
      </c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</row>
    <row r="9" spans="1:106" s="10" customFormat="1" x14ac:dyDescent="0.25">
      <c r="A9" s="15"/>
      <c r="B9" s="15"/>
      <c r="C9" s="15" t="s">
        <v>39</v>
      </c>
      <c r="D9" s="15" t="s">
        <v>87</v>
      </c>
      <c r="E9" s="16">
        <v>10</v>
      </c>
      <c r="F9" s="15" t="s">
        <v>88</v>
      </c>
      <c r="G9" s="15" t="s">
        <v>89</v>
      </c>
      <c r="H9" s="17" t="s">
        <v>27</v>
      </c>
      <c r="I9" s="15" t="s">
        <v>30</v>
      </c>
      <c r="J9" s="15" t="s">
        <v>90</v>
      </c>
      <c r="K9" s="15" t="s">
        <v>91</v>
      </c>
      <c r="L9" s="16">
        <v>8</v>
      </c>
      <c r="M9" s="17" t="s">
        <v>27</v>
      </c>
      <c r="N9" s="17" t="s">
        <v>30</v>
      </c>
      <c r="O9" s="15" t="s">
        <v>92</v>
      </c>
      <c r="P9" s="16">
        <v>10</v>
      </c>
      <c r="Q9" s="17" t="s">
        <v>27</v>
      </c>
      <c r="R9" s="17" t="s">
        <v>30</v>
      </c>
      <c r="S9" s="17" t="s">
        <v>27</v>
      </c>
      <c r="T9" s="17" t="s">
        <v>30</v>
      </c>
      <c r="U9" s="17" t="s">
        <v>28</v>
      </c>
      <c r="V9" s="17" t="s">
        <v>30</v>
      </c>
      <c r="W9" s="15" t="s">
        <v>93</v>
      </c>
      <c r="X9" s="15" t="s">
        <v>36</v>
      </c>
      <c r="Y9" s="16">
        <v>10</v>
      </c>
      <c r="Z9" s="15" t="s">
        <v>94</v>
      </c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  <c r="CX9" s="9"/>
      <c r="CY9" s="9"/>
      <c r="CZ9" s="9"/>
      <c r="DA9" s="9"/>
      <c r="DB9" s="9"/>
    </row>
    <row r="10" spans="1:106" s="10" customFormat="1" x14ac:dyDescent="0.25">
      <c r="A10" s="15"/>
      <c r="B10" s="15"/>
      <c r="C10" s="15" t="s">
        <v>39</v>
      </c>
      <c r="D10" s="15" t="s">
        <v>95</v>
      </c>
      <c r="E10" s="16">
        <v>10</v>
      </c>
      <c r="F10" s="15" t="s">
        <v>37</v>
      </c>
      <c r="G10" s="15" t="s">
        <v>37</v>
      </c>
      <c r="H10" s="17" t="s">
        <v>27</v>
      </c>
      <c r="I10" s="15" t="s">
        <v>30</v>
      </c>
      <c r="J10" s="15" t="s">
        <v>30</v>
      </c>
      <c r="K10" s="15" t="s">
        <v>30</v>
      </c>
      <c r="L10" s="16">
        <v>10</v>
      </c>
      <c r="M10" s="17" t="s">
        <v>27</v>
      </c>
      <c r="N10" s="17" t="s">
        <v>30</v>
      </c>
      <c r="O10" s="15" t="s">
        <v>30</v>
      </c>
      <c r="P10" s="16">
        <v>10</v>
      </c>
      <c r="Q10" s="17" t="s">
        <v>27</v>
      </c>
      <c r="R10" s="17" t="s">
        <v>30</v>
      </c>
      <c r="S10" s="17" t="s">
        <v>27</v>
      </c>
      <c r="T10" s="17" t="s">
        <v>30</v>
      </c>
      <c r="U10" s="17" t="s">
        <v>28</v>
      </c>
      <c r="V10" s="17" t="s">
        <v>30</v>
      </c>
      <c r="W10" s="15" t="s">
        <v>30</v>
      </c>
      <c r="X10" s="15" t="s">
        <v>35</v>
      </c>
      <c r="Y10" s="16">
        <v>10</v>
      </c>
      <c r="Z10" s="15" t="s">
        <v>30</v>
      </c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  <c r="CX10" s="9"/>
      <c r="CY10" s="9"/>
      <c r="CZ10" s="9"/>
      <c r="DA10" s="9"/>
      <c r="DB10" s="9"/>
    </row>
    <row r="11" spans="1:106" s="10" customFormat="1" x14ac:dyDescent="0.25">
      <c r="A11" s="15"/>
      <c r="B11" s="15"/>
      <c r="C11" s="15" t="s">
        <v>39</v>
      </c>
      <c r="D11" s="15" t="s">
        <v>96</v>
      </c>
      <c r="E11" s="16">
        <v>10</v>
      </c>
      <c r="F11" s="15" t="s">
        <v>97</v>
      </c>
      <c r="G11" s="15" t="s">
        <v>98</v>
      </c>
      <c r="H11" s="17" t="s">
        <v>27</v>
      </c>
      <c r="I11" s="15" t="s">
        <v>30</v>
      </c>
      <c r="J11" s="15" t="s">
        <v>30</v>
      </c>
      <c r="K11" s="15" t="s">
        <v>99</v>
      </c>
      <c r="L11" s="16">
        <v>10</v>
      </c>
      <c r="M11" s="17" t="s">
        <v>27</v>
      </c>
      <c r="N11" s="17" t="s">
        <v>30</v>
      </c>
      <c r="O11" s="15" t="s">
        <v>30</v>
      </c>
      <c r="P11" s="16">
        <v>10</v>
      </c>
      <c r="Q11" s="17" t="s">
        <v>27</v>
      </c>
      <c r="R11" s="17" t="s">
        <v>30</v>
      </c>
      <c r="S11" s="17" t="s">
        <v>27</v>
      </c>
      <c r="T11" s="17" t="s">
        <v>30</v>
      </c>
      <c r="U11" s="17" t="s">
        <v>28</v>
      </c>
      <c r="V11" s="17" t="s">
        <v>30</v>
      </c>
      <c r="W11" s="15" t="s">
        <v>30</v>
      </c>
      <c r="X11" s="15" t="s">
        <v>36</v>
      </c>
      <c r="Y11" s="16">
        <v>10</v>
      </c>
      <c r="Z11" s="15" t="s">
        <v>100</v>
      </c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  <c r="CX11" s="9"/>
      <c r="CY11" s="9"/>
      <c r="CZ11" s="9"/>
      <c r="DA11" s="9"/>
      <c r="DB11" s="9"/>
    </row>
    <row r="12" spans="1:106" s="10" customFormat="1" x14ac:dyDescent="0.25">
      <c r="A12" s="15"/>
      <c r="B12" s="15"/>
      <c r="C12" s="15" t="s">
        <v>38</v>
      </c>
      <c r="D12" s="15" t="s">
        <v>101</v>
      </c>
      <c r="E12" s="16">
        <v>10</v>
      </c>
      <c r="F12" s="15" t="s">
        <v>102</v>
      </c>
      <c r="G12" s="15" t="s">
        <v>75</v>
      </c>
      <c r="H12" s="17" t="s">
        <v>27</v>
      </c>
      <c r="I12" s="15" t="s">
        <v>30</v>
      </c>
      <c r="J12" s="15" t="s">
        <v>103</v>
      </c>
      <c r="K12" s="15" t="s">
        <v>104</v>
      </c>
      <c r="L12" s="16">
        <v>10</v>
      </c>
      <c r="M12" s="17" t="s">
        <v>27</v>
      </c>
      <c r="N12" s="17" t="s">
        <v>30</v>
      </c>
      <c r="O12" s="15" t="s">
        <v>105</v>
      </c>
      <c r="P12" s="16">
        <v>10</v>
      </c>
      <c r="Q12" s="17" t="s">
        <v>27</v>
      </c>
      <c r="R12" s="17" t="s">
        <v>30</v>
      </c>
      <c r="S12" s="17" t="s">
        <v>27</v>
      </c>
      <c r="T12" s="17" t="s">
        <v>30</v>
      </c>
      <c r="U12" s="17" t="s">
        <v>28</v>
      </c>
      <c r="V12" s="17" t="s">
        <v>30</v>
      </c>
      <c r="W12" s="15" t="s">
        <v>106</v>
      </c>
      <c r="X12" s="15" t="s">
        <v>35</v>
      </c>
      <c r="Y12" s="16">
        <v>10</v>
      </c>
      <c r="Z12" s="15" t="s">
        <v>30</v>
      </c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</row>
    <row r="13" spans="1:106" s="10" customFormat="1" x14ac:dyDescent="0.25">
      <c r="A13" s="15"/>
      <c r="B13" s="15"/>
      <c r="C13" s="15" t="s">
        <v>39</v>
      </c>
      <c r="D13" s="15" t="s">
        <v>107</v>
      </c>
      <c r="E13" s="16">
        <v>10</v>
      </c>
      <c r="F13" s="15" t="s">
        <v>30</v>
      </c>
      <c r="G13" s="15" t="s">
        <v>30</v>
      </c>
      <c r="H13" s="17" t="s">
        <v>27</v>
      </c>
      <c r="I13" s="15" t="s">
        <v>108</v>
      </c>
      <c r="J13" s="15" t="s">
        <v>30</v>
      </c>
      <c r="K13" s="15" t="s">
        <v>108</v>
      </c>
      <c r="L13" s="16">
        <v>10</v>
      </c>
      <c r="M13" s="17" t="s">
        <v>27</v>
      </c>
      <c r="N13" s="17" t="s">
        <v>30</v>
      </c>
      <c r="O13" s="15" t="s">
        <v>30</v>
      </c>
      <c r="P13" s="16">
        <v>10</v>
      </c>
      <c r="Q13" s="17" t="s">
        <v>27</v>
      </c>
      <c r="R13" s="17" t="s">
        <v>30</v>
      </c>
      <c r="S13" s="17" t="s">
        <v>27</v>
      </c>
      <c r="T13" s="17" t="s">
        <v>30</v>
      </c>
      <c r="U13" s="17" t="s">
        <v>28</v>
      </c>
      <c r="V13" s="17" t="s">
        <v>30</v>
      </c>
      <c r="W13" s="15" t="s">
        <v>30</v>
      </c>
      <c r="X13" s="15" t="s">
        <v>36</v>
      </c>
      <c r="Y13" s="16">
        <v>10</v>
      </c>
      <c r="Z13" s="15" t="s">
        <v>30</v>
      </c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  <c r="CX13" s="9"/>
      <c r="CY13" s="9"/>
      <c r="CZ13" s="9"/>
      <c r="DA13" s="9"/>
      <c r="DB13" s="9"/>
    </row>
    <row r="14" spans="1:106" s="12" customFormat="1" x14ac:dyDescent="0.25">
      <c r="A14" s="15"/>
      <c r="B14" s="15"/>
      <c r="C14" s="15" t="s">
        <v>39</v>
      </c>
      <c r="D14" s="15" t="s">
        <v>109</v>
      </c>
      <c r="E14" s="16">
        <v>10</v>
      </c>
      <c r="F14" s="15" t="s">
        <v>110</v>
      </c>
      <c r="G14" s="15" t="s">
        <v>111</v>
      </c>
      <c r="H14" s="17" t="s">
        <v>27</v>
      </c>
      <c r="I14" s="15" t="s">
        <v>30</v>
      </c>
      <c r="J14" s="15" t="s">
        <v>112</v>
      </c>
      <c r="K14" s="15" t="s">
        <v>113</v>
      </c>
      <c r="L14" s="16">
        <v>10</v>
      </c>
      <c r="M14" s="17" t="s">
        <v>27</v>
      </c>
      <c r="N14" s="17" t="s">
        <v>30</v>
      </c>
      <c r="O14" s="15" t="s">
        <v>114</v>
      </c>
      <c r="P14" s="16">
        <v>10</v>
      </c>
      <c r="Q14" s="17" t="s">
        <v>27</v>
      </c>
      <c r="R14" s="17" t="s">
        <v>30</v>
      </c>
      <c r="S14" s="17" t="s">
        <v>27</v>
      </c>
      <c r="T14" s="17" t="s">
        <v>30</v>
      </c>
      <c r="U14" s="17" t="s">
        <v>28</v>
      </c>
      <c r="V14" s="17" t="s">
        <v>30</v>
      </c>
      <c r="W14" s="15" t="s">
        <v>115</v>
      </c>
      <c r="X14" s="15" t="s">
        <v>36</v>
      </c>
      <c r="Y14" s="16">
        <v>10</v>
      </c>
      <c r="Z14" s="15" t="s">
        <v>116</v>
      </c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 s="11"/>
      <c r="CU14" s="11"/>
      <c r="CV14" s="11"/>
      <c r="CW14" s="11"/>
      <c r="CX14" s="11"/>
      <c r="CY14" s="11"/>
      <c r="CZ14" s="11"/>
      <c r="DA14" s="11"/>
      <c r="DB14" s="11"/>
    </row>
    <row r="15" spans="1:106" s="12" customFormat="1" x14ac:dyDescent="0.25">
      <c r="A15" s="15"/>
      <c r="B15" s="15"/>
      <c r="C15" s="15" t="s">
        <v>39</v>
      </c>
      <c r="D15" s="15" t="s">
        <v>117</v>
      </c>
      <c r="E15" s="16">
        <v>8</v>
      </c>
      <c r="F15" s="15" t="s">
        <v>118</v>
      </c>
      <c r="G15" s="15" t="s">
        <v>30</v>
      </c>
      <c r="H15" s="17" t="s">
        <v>27</v>
      </c>
      <c r="I15" s="15" t="s">
        <v>30</v>
      </c>
      <c r="J15" s="15" t="s">
        <v>119</v>
      </c>
      <c r="K15" s="15" t="s">
        <v>30</v>
      </c>
      <c r="L15" s="16">
        <v>9</v>
      </c>
      <c r="M15" s="17" t="s">
        <v>27</v>
      </c>
      <c r="N15" s="17" t="s">
        <v>30</v>
      </c>
      <c r="O15" s="15" t="s">
        <v>30</v>
      </c>
      <c r="P15" s="16">
        <v>8</v>
      </c>
      <c r="Q15" s="17" t="s">
        <v>27</v>
      </c>
      <c r="R15" s="17" t="s">
        <v>30</v>
      </c>
      <c r="S15" s="17" t="s">
        <v>27</v>
      </c>
      <c r="T15" s="17" t="s">
        <v>30</v>
      </c>
      <c r="U15" s="17" t="s">
        <v>28</v>
      </c>
      <c r="V15" s="17" t="s">
        <v>30</v>
      </c>
      <c r="W15" s="15" t="s">
        <v>30</v>
      </c>
      <c r="X15" s="15" t="s">
        <v>43</v>
      </c>
      <c r="Y15" s="16">
        <v>10</v>
      </c>
      <c r="Z15" s="15" t="s">
        <v>30</v>
      </c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</row>
    <row r="16" spans="1:106" s="12" customFormat="1" x14ac:dyDescent="0.25">
      <c r="A16" s="15"/>
      <c r="B16" s="15"/>
      <c r="C16" s="15" t="s">
        <v>39</v>
      </c>
      <c r="D16" s="15" t="s">
        <v>120</v>
      </c>
      <c r="E16" s="16">
        <v>10</v>
      </c>
      <c r="F16" s="15" t="s">
        <v>121</v>
      </c>
      <c r="G16" s="15" t="s">
        <v>122</v>
      </c>
      <c r="H16" s="17" t="s">
        <v>27</v>
      </c>
      <c r="I16" s="15" t="s">
        <v>30</v>
      </c>
      <c r="J16" s="15" t="s">
        <v>123</v>
      </c>
      <c r="K16" s="15" t="s">
        <v>124</v>
      </c>
      <c r="L16" s="16">
        <v>10</v>
      </c>
      <c r="M16" s="17" t="s">
        <v>27</v>
      </c>
      <c r="N16" s="17" t="s">
        <v>30</v>
      </c>
      <c r="O16" s="15" t="s">
        <v>125</v>
      </c>
      <c r="P16" s="16">
        <v>10</v>
      </c>
      <c r="Q16" s="17" t="s">
        <v>27</v>
      </c>
      <c r="R16" s="17" t="s">
        <v>30</v>
      </c>
      <c r="S16" s="17" t="s">
        <v>27</v>
      </c>
      <c r="T16" s="17" t="s">
        <v>30</v>
      </c>
      <c r="U16" s="17" t="s">
        <v>28</v>
      </c>
      <c r="V16" s="17" t="s">
        <v>30</v>
      </c>
      <c r="W16" s="15" t="s">
        <v>126</v>
      </c>
      <c r="X16" s="15" t="s">
        <v>35</v>
      </c>
      <c r="Y16" s="16">
        <v>10</v>
      </c>
      <c r="Z16" s="15" t="s">
        <v>127</v>
      </c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  <c r="CT16" s="11"/>
      <c r="CU16" s="11"/>
      <c r="CV16" s="11"/>
      <c r="CW16" s="11"/>
      <c r="CX16" s="11"/>
      <c r="CY16" s="11"/>
      <c r="CZ16" s="11"/>
      <c r="DA16" s="11"/>
      <c r="DB16" s="11"/>
    </row>
    <row r="17" spans="1:106" s="12" customFormat="1" x14ac:dyDescent="0.25">
      <c r="A17" s="15"/>
      <c r="B17" s="15"/>
      <c r="C17" s="15" t="s">
        <v>39</v>
      </c>
      <c r="D17" s="15" t="s">
        <v>108</v>
      </c>
      <c r="E17" s="16">
        <v>10</v>
      </c>
      <c r="F17" s="15" t="s">
        <v>128</v>
      </c>
      <c r="G17" s="15" t="s">
        <v>129</v>
      </c>
      <c r="H17" s="17" t="s">
        <v>27</v>
      </c>
      <c r="I17" s="15" t="s">
        <v>130</v>
      </c>
      <c r="J17" s="15" t="s">
        <v>130</v>
      </c>
      <c r="K17" s="15" t="s">
        <v>131</v>
      </c>
      <c r="L17" s="16">
        <v>10</v>
      </c>
      <c r="M17" s="17" t="s">
        <v>27</v>
      </c>
      <c r="N17" s="17" t="s">
        <v>131</v>
      </c>
      <c r="O17" s="15" t="s">
        <v>131</v>
      </c>
      <c r="P17" s="16">
        <v>10</v>
      </c>
      <c r="Q17" s="17" t="s">
        <v>27</v>
      </c>
      <c r="R17" s="17" t="s">
        <v>131</v>
      </c>
      <c r="S17" s="17" t="s">
        <v>27</v>
      </c>
      <c r="T17" s="17" t="s">
        <v>131</v>
      </c>
      <c r="U17" s="17" t="s">
        <v>28</v>
      </c>
      <c r="V17" s="17" t="s">
        <v>131</v>
      </c>
      <c r="W17" s="15" t="s">
        <v>131</v>
      </c>
      <c r="X17" s="15" t="s">
        <v>36</v>
      </c>
      <c r="Y17" s="16">
        <v>10</v>
      </c>
      <c r="Z17" s="15" t="s">
        <v>131</v>
      </c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</row>
    <row r="18" spans="1:106" s="12" customFormat="1" x14ac:dyDescent="0.25">
      <c r="A18" s="15"/>
      <c r="B18" s="15"/>
      <c r="C18" s="15" t="s">
        <v>39</v>
      </c>
      <c r="D18" s="15" t="s">
        <v>132</v>
      </c>
      <c r="E18" s="16">
        <v>10</v>
      </c>
      <c r="F18" s="15" t="s">
        <v>75</v>
      </c>
      <c r="G18" s="15" t="s">
        <v>133</v>
      </c>
      <c r="H18" s="17" t="s">
        <v>27</v>
      </c>
      <c r="I18" s="15" t="s">
        <v>30</v>
      </c>
      <c r="J18" s="15" t="s">
        <v>134</v>
      </c>
      <c r="K18" s="15" t="s">
        <v>30</v>
      </c>
      <c r="L18" s="16">
        <v>10</v>
      </c>
      <c r="M18" s="17" t="s">
        <v>27</v>
      </c>
      <c r="N18" s="17" t="s">
        <v>30</v>
      </c>
      <c r="O18" s="15" t="s">
        <v>30</v>
      </c>
      <c r="P18" s="16">
        <v>10</v>
      </c>
      <c r="Q18" s="17" t="s">
        <v>27</v>
      </c>
      <c r="R18" s="17" t="s">
        <v>30</v>
      </c>
      <c r="S18" s="17" t="s">
        <v>27</v>
      </c>
      <c r="T18" s="17" t="s">
        <v>30</v>
      </c>
      <c r="U18" s="17" t="s">
        <v>28</v>
      </c>
      <c r="V18" s="17" t="s">
        <v>30</v>
      </c>
      <c r="W18" s="15" t="s">
        <v>30</v>
      </c>
      <c r="X18" s="15" t="s">
        <v>43</v>
      </c>
      <c r="Y18" s="16">
        <v>10</v>
      </c>
      <c r="Z18" s="15" t="s">
        <v>135</v>
      </c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  <c r="CT18" s="11"/>
      <c r="CU18" s="11"/>
      <c r="CV18" s="11"/>
      <c r="CW18" s="11"/>
      <c r="CX18" s="11"/>
      <c r="CY18" s="11"/>
      <c r="CZ18" s="11"/>
      <c r="DA18" s="11"/>
      <c r="DB18" s="11"/>
    </row>
    <row r="19" spans="1:106" s="12" customFormat="1" x14ac:dyDescent="0.25">
      <c r="A19" s="15"/>
      <c r="B19" s="15"/>
      <c r="C19" s="15" t="s">
        <v>38</v>
      </c>
      <c r="D19" s="15" t="s">
        <v>136</v>
      </c>
      <c r="E19" s="16">
        <v>10</v>
      </c>
      <c r="F19" s="15" t="s">
        <v>137</v>
      </c>
      <c r="G19" s="15" t="s">
        <v>138</v>
      </c>
      <c r="H19" s="17" t="s">
        <v>27</v>
      </c>
      <c r="I19" s="15" t="s">
        <v>139</v>
      </c>
      <c r="J19" s="15" t="s">
        <v>140</v>
      </c>
      <c r="K19" s="15" t="s">
        <v>141</v>
      </c>
      <c r="L19" s="16">
        <v>10</v>
      </c>
      <c r="M19" s="17" t="s">
        <v>27</v>
      </c>
      <c r="N19" s="17" t="s">
        <v>30</v>
      </c>
      <c r="O19" s="15" t="s">
        <v>142</v>
      </c>
      <c r="P19" s="16">
        <v>10</v>
      </c>
      <c r="Q19" s="17" t="s">
        <v>27</v>
      </c>
      <c r="R19" s="17" t="s">
        <v>30</v>
      </c>
      <c r="S19" s="17" t="s">
        <v>27</v>
      </c>
      <c r="T19" s="17" t="s">
        <v>30</v>
      </c>
      <c r="U19" s="17" t="s">
        <v>28</v>
      </c>
      <c r="V19" s="17" t="s">
        <v>30</v>
      </c>
      <c r="W19" s="15" t="s">
        <v>143</v>
      </c>
      <c r="X19" s="15" t="s">
        <v>36</v>
      </c>
      <c r="Y19" s="16">
        <v>10</v>
      </c>
      <c r="Z19" s="15" t="s">
        <v>144</v>
      </c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</row>
    <row r="20" spans="1:106" s="12" customFormat="1" x14ac:dyDescent="0.25">
      <c r="A20" s="15"/>
      <c r="B20" s="15"/>
      <c r="C20" s="15" t="s">
        <v>39</v>
      </c>
      <c r="D20" s="15" t="s">
        <v>145</v>
      </c>
      <c r="E20" s="16">
        <v>8</v>
      </c>
      <c r="F20" s="15" t="s">
        <v>146</v>
      </c>
      <c r="G20" s="15" t="s">
        <v>147</v>
      </c>
      <c r="H20" s="17" t="s">
        <v>27</v>
      </c>
      <c r="I20" s="15" t="s">
        <v>30</v>
      </c>
      <c r="J20" s="15" t="s">
        <v>30</v>
      </c>
      <c r="K20" s="15" t="s">
        <v>148</v>
      </c>
      <c r="L20" s="16">
        <v>9</v>
      </c>
      <c r="M20" s="17" t="s">
        <v>27</v>
      </c>
      <c r="N20" s="17" t="s">
        <v>30</v>
      </c>
      <c r="O20" s="15" t="s">
        <v>149</v>
      </c>
      <c r="P20" s="16">
        <v>10</v>
      </c>
      <c r="Q20" s="17" t="s">
        <v>27</v>
      </c>
      <c r="R20" s="17" t="s">
        <v>30</v>
      </c>
      <c r="S20" s="17" t="s">
        <v>27</v>
      </c>
      <c r="T20" s="17" t="s">
        <v>30</v>
      </c>
      <c r="U20" s="17" t="s">
        <v>28</v>
      </c>
      <c r="V20" s="17" t="s">
        <v>30</v>
      </c>
      <c r="W20" s="15" t="s">
        <v>150</v>
      </c>
      <c r="X20" s="15" t="s">
        <v>36</v>
      </c>
      <c r="Y20" s="16">
        <v>10</v>
      </c>
      <c r="Z20" s="15" t="s">
        <v>30</v>
      </c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</row>
    <row r="21" spans="1:106" s="14" customFormat="1" x14ac:dyDescent="0.25">
      <c r="A21" s="15"/>
      <c r="B21" s="15"/>
      <c r="C21" s="15" t="s">
        <v>38</v>
      </c>
      <c r="D21" s="15" t="s">
        <v>151</v>
      </c>
      <c r="E21" s="16">
        <v>10</v>
      </c>
      <c r="F21" s="15" t="s">
        <v>152</v>
      </c>
      <c r="G21" s="15" t="s">
        <v>153</v>
      </c>
      <c r="H21" s="17" t="s">
        <v>27</v>
      </c>
      <c r="I21" s="15" t="s">
        <v>30</v>
      </c>
      <c r="J21" s="15" t="s">
        <v>154</v>
      </c>
      <c r="K21" s="15" t="s">
        <v>155</v>
      </c>
      <c r="L21" s="16">
        <v>10</v>
      </c>
      <c r="M21" s="17" t="s">
        <v>27</v>
      </c>
      <c r="N21" s="17" t="s">
        <v>30</v>
      </c>
      <c r="O21" s="15" t="s">
        <v>156</v>
      </c>
      <c r="P21" s="16">
        <v>10</v>
      </c>
      <c r="Q21" s="17" t="s">
        <v>27</v>
      </c>
      <c r="R21" s="17" t="s">
        <v>30</v>
      </c>
      <c r="S21" s="17" t="s">
        <v>27</v>
      </c>
      <c r="T21" s="17" t="s">
        <v>30</v>
      </c>
      <c r="U21" s="17" t="s">
        <v>28</v>
      </c>
      <c r="V21" s="17" t="s">
        <v>30</v>
      </c>
      <c r="W21" s="15" t="s">
        <v>157</v>
      </c>
      <c r="X21" s="15" t="s">
        <v>36</v>
      </c>
      <c r="Y21" s="16">
        <v>10</v>
      </c>
      <c r="Z21" s="15" t="s">
        <v>158</v>
      </c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</row>
    <row r="22" spans="1:106" x14ac:dyDescent="0.25">
      <c r="A22" s="15"/>
      <c r="B22" s="15"/>
      <c r="C22" s="15" t="s">
        <v>39</v>
      </c>
      <c r="D22" s="15" t="s">
        <v>30</v>
      </c>
      <c r="E22" s="16">
        <v>10</v>
      </c>
      <c r="F22" s="15" t="s">
        <v>30</v>
      </c>
      <c r="G22" s="15" t="s">
        <v>30</v>
      </c>
      <c r="H22" s="17" t="s">
        <v>27</v>
      </c>
      <c r="I22" s="15" t="s">
        <v>30</v>
      </c>
      <c r="J22" s="15" t="s">
        <v>30</v>
      </c>
      <c r="K22" s="15" t="s">
        <v>30</v>
      </c>
      <c r="L22" s="16">
        <v>10</v>
      </c>
      <c r="M22" s="17" t="s">
        <v>27</v>
      </c>
      <c r="N22" s="17" t="s">
        <v>30</v>
      </c>
      <c r="O22" s="15" t="s">
        <v>30</v>
      </c>
      <c r="P22" s="16">
        <v>10</v>
      </c>
      <c r="Q22" s="17" t="s">
        <v>27</v>
      </c>
      <c r="R22" s="17" t="s">
        <v>30</v>
      </c>
      <c r="S22" s="17" t="s">
        <v>27</v>
      </c>
      <c r="T22" s="17" t="s">
        <v>30</v>
      </c>
      <c r="U22" s="17" t="s">
        <v>28</v>
      </c>
      <c r="V22" s="17" t="s">
        <v>30</v>
      </c>
      <c r="W22" s="15" t="s">
        <v>30</v>
      </c>
      <c r="X22" s="15" t="s">
        <v>36</v>
      </c>
      <c r="Y22" s="16">
        <v>10</v>
      </c>
      <c r="Z22" s="15" t="s">
        <v>30</v>
      </c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</row>
    <row r="23" spans="1:106" x14ac:dyDescent="0.25">
      <c r="A23" s="15"/>
      <c r="B23" s="15"/>
      <c r="C23" s="15" t="s">
        <v>39</v>
      </c>
      <c r="D23" s="15" t="s">
        <v>159</v>
      </c>
      <c r="E23" s="16">
        <v>10</v>
      </c>
      <c r="F23" s="15" t="s">
        <v>160</v>
      </c>
      <c r="G23" s="15" t="s">
        <v>161</v>
      </c>
      <c r="H23" s="17" t="s">
        <v>27</v>
      </c>
      <c r="I23" s="15" t="s">
        <v>30</v>
      </c>
      <c r="J23" s="15" t="s">
        <v>162</v>
      </c>
      <c r="K23" s="15" t="s">
        <v>30</v>
      </c>
      <c r="L23" s="16">
        <v>10</v>
      </c>
      <c r="M23" s="17" t="s">
        <v>27</v>
      </c>
      <c r="N23" s="17" t="s">
        <v>30</v>
      </c>
      <c r="O23" s="15" t="s">
        <v>30</v>
      </c>
      <c r="P23" s="16">
        <v>10</v>
      </c>
      <c r="Q23" s="17" t="s">
        <v>27</v>
      </c>
      <c r="R23" s="17" t="s">
        <v>30</v>
      </c>
      <c r="S23" s="17" t="s">
        <v>27</v>
      </c>
      <c r="T23" s="17" t="s">
        <v>30</v>
      </c>
      <c r="U23" s="17" t="s">
        <v>28</v>
      </c>
      <c r="V23" s="17" t="s">
        <v>30</v>
      </c>
      <c r="W23" s="15" t="s">
        <v>30</v>
      </c>
      <c r="X23" s="15" t="s">
        <v>36</v>
      </c>
      <c r="Y23" s="16">
        <v>10</v>
      </c>
      <c r="Z23" s="15" t="s">
        <v>163</v>
      </c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</row>
    <row r="24" spans="1:106" x14ac:dyDescent="0.25">
      <c r="A24" s="15"/>
      <c r="B24" s="15"/>
      <c r="C24" s="15" t="s">
        <v>39</v>
      </c>
      <c r="D24" s="15" t="s">
        <v>164</v>
      </c>
      <c r="E24" s="16">
        <v>10</v>
      </c>
      <c r="F24" s="15" t="s">
        <v>165</v>
      </c>
      <c r="G24" s="15" t="s">
        <v>166</v>
      </c>
      <c r="H24" s="17" t="s">
        <v>27</v>
      </c>
      <c r="I24" s="15" t="s">
        <v>30</v>
      </c>
      <c r="J24" s="15" t="s">
        <v>167</v>
      </c>
      <c r="K24" s="15" t="s">
        <v>168</v>
      </c>
      <c r="L24" s="16">
        <v>9</v>
      </c>
      <c r="M24" s="17" t="s">
        <v>27</v>
      </c>
      <c r="N24" s="17" t="s">
        <v>30</v>
      </c>
      <c r="O24" s="15" t="s">
        <v>169</v>
      </c>
      <c r="P24" s="16">
        <v>10</v>
      </c>
      <c r="Q24" s="17" t="s">
        <v>27</v>
      </c>
      <c r="R24" s="17" t="s">
        <v>30</v>
      </c>
      <c r="S24" s="17" t="s">
        <v>27</v>
      </c>
      <c r="T24" s="17" t="s">
        <v>30</v>
      </c>
      <c r="U24" s="17" t="s">
        <v>28</v>
      </c>
      <c r="V24" s="17" t="s">
        <v>30</v>
      </c>
      <c r="W24" s="15" t="s">
        <v>170</v>
      </c>
      <c r="X24" s="15" t="s">
        <v>36</v>
      </c>
      <c r="Y24" s="16">
        <v>10</v>
      </c>
      <c r="Z24" s="15" t="s">
        <v>171</v>
      </c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</row>
    <row r="25" spans="1:106" x14ac:dyDescent="0.25">
      <c r="A25" s="15"/>
      <c r="B25" s="15"/>
      <c r="C25" s="15" t="s">
        <v>39</v>
      </c>
      <c r="D25" s="15" t="s">
        <v>172</v>
      </c>
      <c r="E25" s="16">
        <v>8</v>
      </c>
      <c r="F25" s="15" t="s">
        <v>173</v>
      </c>
      <c r="G25" s="15" t="s">
        <v>75</v>
      </c>
      <c r="H25" s="17" t="s">
        <v>27</v>
      </c>
      <c r="I25" s="15" t="s">
        <v>30</v>
      </c>
      <c r="J25" s="15" t="s">
        <v>174</v>
      </c>
      <c r="K25" s="15" t="s">
        <v>175</v>
      </c>
      <c r="L25" s="16">
        <v>10</v>
      </c>
      <c r="M25" s="17" t="s">
        <v>27</v>
      </c>
      <c r="N25" s="17" t="s">
        <v>30</v>
      </c>
      <c r="O25" s="15" t="s">
        <v>149</v>
      </c>
      <c r="P25" s="16">
        <v>10</v>
      </c>
      <c r="Q25" s="17" t="s">
        <v>27</v>
      </c>
      <c r="R25" s="17" t="s">
        <v>30</v>
      </c>
      <c r="S25" s="17" t="s">
        <v>27</v>
      </c>
      <c r="T25" s="17" t="s">
        <v>30</v>
      </c>
      <c r="U25" s="17" t="s">
        <v>28</v>
      </c>
      <c r="V25" s="17" t="s">
        <v>30</v>
      </c>
      <c r="W25" s="15" t="s">
        <v>149</v>
      </c>
      <c r="X25" s="15" t="s">
        <v>36</v>
      </c>
      <c r="Y25" s="16">
        <v>10</v>
      </c>
      <c r="Z25" s="15" t="s">
        <v>176</v>
      </c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</row>
    <row r="26" spans="1:106" x14ac:dyDescent="0.25">
      <c r="A26" s="15"/>
      <c r="B26" s="15"/>
      <c r="C26" s="15" t="s">
        <v>39</v>
      </c>
      <c r="D26" s="15" t="s">
        <v>177</v>
      </c>
      <c r="E26" s="16">
        <v>9</v>
      </c>
      <c r="F26" s="15" t="s">
        <v>178</v>
      </c>
      <c r="G26" s="15" t="s">
        <v>37</v>
      </c>
      <c r="H26" s="17" t="s">
        <v>27</v>
      </c>
      <c r="I26" s="15" t="s">
        <v>30</v>
      </c>
      <c r="J26" s="15" t="s">
        <v>30</v>
      </c>
      <c r="K26" s="15" t="s">
        <v>30</v>
      </c>
      <c r="L26" s="16">
        <v>9</v>
      </c>
      <c r="M26" s="17" t="s">
        <v>28</v>
      </c>
      <c r="N26" s="17" t="s">
        <v>30</v>
      </c>
      <c r="O26" s="15" t="s">
        <v>30</v>
      </c>
      <c r="P26" s="16">
        <v>9</v>
      </c>
      <c r="Q26" s="17" t="s">
        <v>27</v>
      </c>
      <c r="R26" s="17" t="s">
        <v>30</v>
      </c>
      <c r="S26" s="17" t="s">
        <v>28</v>
      </c>
      <c r="T26" s="17" t="s">
        <v>30</v>
      </c>
      <c r="U26" s="17" t="s">
        <v>28</v>
      </c>
      <c r="V26" s="17" t="s">
        <v>30</v>
      </c>
      <c r="W26" s="15" t="s">
        <v>30</v>
      </c>
      <c r="X26" s="15" t="s">
        <v>43</v>
      </c>
      <c r="Y26" s="16">
        <v>9</v>
      </c>
      <c r="Z26" s="15" t="s">
        <v>30</v>
      </c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</row>
    <row r="27" spans="1:106" x14ac:dyDescent="0.25">
      <c r="A27" s="15"/>
      <c r="B27" s="15"/>
      <c r="C27" s="15" t="s">
        <v>39</v>
      </c>
      <c r="D27" s="15" t="s">
        <v>179</v>
      </c>
      <c r="E27" s="16">
        <v>10</v>
      </c>
      <c r="F27" s="15" t="s">
        <v>180</v>
      </c>
      <c r="G27" s="15" t="s">
        <v>181</v>
      </c>
      <c r="H27" s="17" t="s">
        <v>27</v>
      </c>
      <c r="I27" s="15" t="s">
        <v>30</v>
      </c>
      <c r="J27" s="15" t="s">
        <v>182</v>
      </c>
      <c r="K27" s="15" t="s">
        <v>183</v>
      </c>
      <c r="L27" s="16">
        <v>10</v>
      </c>
      <c r="M27" s="17" t="s">
        <v>27</v>
      </c>
      <c r="N27" s="17" t="s">
        <v>30</v>
      </c>
      <c r="O27" s="15" t="s">
        <v>184</v>
      </c>
      <c r="P27" s="16">
        <v>10</v>
      </c>
      <c r="Q27" s="17" t="s">
        <v>27</v>
      </c>
      <c r="R27" s="17" t="s">
        <v>30</v>
      </c>
      <c r="S27" s="17" t="s">
        <v>27</v>
      </c>
      <c r="T27" s="17" t="s">
        <v>30</v>
      </c>
      <c r="U27" s="17" t="s">
        <v>28</v>
      </c>
      <c r="V27" s="17" t="s">
        <v>30</v>
      </c>
      <c r="W27" s="15" t="s">
        <v>185</v>
      </c>
      <c r="X27" s="15" t="s">
        <v>35</v>
      </c>
      <c r="Y27" s="16">
        <v>10</v>
      </c>
      <c r="Z27" s="15" t="s">
        <v>186</v>
      </c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</row>
    <row r="28" spans="1:106" x14ac:dyDescent="0.25">
      <c r="A28" s="15"/>
      <c r="B28" s="15"/>
      <c r="C28" s="15" t="s">
        <v>39</v>
      </c>
      <c r="D28" s="15" t="s">
        <v>187</v>
      </c>
      <c r="E28" s="16">
        <v>6</v>
      </c>
      <c r="F28" s="15" t="s">
        <v>188</v>
      </c>
      <c r="G28" s="15" t="s">
        <v>189</v>
      </c>
      <c r="H28" s="17" t="s">
        <v>27</v>
      </c>
      <c r="I28" s="15" t="s">
        <v>30</v>
      </c>
      <c r="J28" s="15" t="s">
        <v>30</v>
      </c>
      <c r="K28" s="15" t="s">
        <v>30</v>
      </c>
      <c r="L28" s="16">
        <v>10</v>
      </c>
      <c r="M28" s="17" t="s">
        <v>27</v>
      </c>
      <c r="N28" s="17" t="s">
        <v>30</v>
      </c>
      <c r="O28" s="15" t="s">
        <v>30</v>
      </c>
      <c r="P28" s="16">
        <v>8</v>
      </c>
      <c r="Q28" s="17" t="s">
        <v>27</v>
      </c>
      <c r="R28" s="17" t="s">
        <v>30</v>
      </c>
      <c r="S28" s="17" t="s">
        <v>27</v>
      </c>
      <c r="T28" s="17" t="s">
        <v>30</v>
      </c>
      <c r="U28" s="17" t="s">
        <v>28</v>
      </c>
      <c r="V28" s="17" t="s">
        <v>30</v>
      </c>
      <c r="W28" s="15" t="s">
        <v>190</v>
      </c>
      <c r="X28" s="15" t="s">
        <v>36</v>
      </c>
      <c r="Y28" s="16">
        <v>10</v>
      </c>
      <c r="Z28" s="15" t="s">
        <v>191</v>
      </c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</row>
    <row r="29" spans="1:106" x14ac:dyDescent="0.25">
      <c r="A29" s="15"/>
      <c r="B29" s="15"/>
      <c r="C29" s="15" t="s">
        <v>39</v>
      </c>
      <c r="D29" s="15" t="s">
        <v>192</v>
      </c>
      <c r="E29" s="16">
        <v>10</v>
      </c>
      <c r="F29" s="15" t="s">
        <v>193</v>
      </c>
      <c r="G29" s="15" t="s">
        <v>194</v>
      </c>
      <c r="H29" s="17" t="s">
        <v>27</v>
      </c>
      <c r="I29" s="15" t="s">
        <v>30</v>
      </c>
      <c r="J29" s="15" t="s">
        <v>195</v>
      </c>
      <c r="K29" s="15" t="s">
        <v>195</v>
      </c>
      <c r="L29" s="16">
        <v>10</v>
      </c>
      <c r="M29" s="17" t="s">
        <v>27</v>
      </c>
      <c r="N29" s="17" t="s">
        <v>30</v>
      </c>
      <c r="O29" s="15" t="s">
        <v>125</v>
      </c>
      <c r="P29" s="16">
        <v>10</v>
      </c>
      <c r="Q29" s="17" t="s">
        <v>27</v>
      </c>
      <c r="R29" s="17" t="s">
        <v>30</v>
      </c>
      <c r="S29" s="17" t="s">
        <v>27</v>
      </c>
      <c r="T29" s="17" t="s">
        <v>30</v>
      </c>
      <c r="U29" s="17" t="s">
        <v>28</v>
      </c>
      <c r="V29" s="17" t="s">
        <v>30</v>
      </c>
      <c r="W29" s="15" t="s">
        <v>30</v>
      </c>
      <c r="X29" s="15" t="s">
        <v>43</v>
      </c>
      <c r="Y29" s="16">
        <v>10</v>
      </c>
      <c r="Z29" s="15" t="s">
        <v>30</v>
      </c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</row>
    <row r="30" spans="1:106" x14ac:dyDescent="0.25">
      <c r="A30" s="15"/>
      <c r="B30" s="15"/>
      <c r="C30" s="15" t="s">
        <v>39</v>
      </c>
      <c r="D30" s="15" t="s">
        <v>196</v>
      </c>
      <c r="E30" s="16">
        <v>9</v>
      </c>
      <c r="F30" s="15" t="s">
        <v>197</v>
      </c>
      <c r="G30" s="15" t="s">
        <v>198</v>
      </c>
      <c r="H30" s="17" t="s">
        <v>27</v>
      </c>
      <c r="I30" s="15" t="s">
        <v>199</v>
      </c>
      <c r="J30" s="15" t="s">
        <v>200</v>
      </c>
      <c r="K30" s="15" t="s">
        <v>201</v>
      </c>
      <c r="L30" s="16">
        <v>8</v>
      </c>
      <c r="M30" s="17" t="s">
        <v>27</v>
      </c>
      <c r="N30" s="17" t="s">
        <v>30</v>
      </c>
      <c r="O30" s="15" t="s">
        <v>202</v>
      </c>
      <c r="P30" s="16">
        <v>10</v>
      </c>
      <c r="Q30" s="17" t="s">
        <v>27</v>
      </c>
      <c r="R30" s="17" t="s">
        <v>199</v>
      </c>
      <c r="S30" s="17" t="s">
        <v>27</v>
      </c>
      <c r="T30" s="17" t="s">
        <v>42</v>
      </c>
      <c r="U30" s="17" t="s">
        <v>28</v>
      </c>
      <c r="V30" s="17" t="s">
        <v>199</v>
      </c>
      <c r="W30" s="15" t="s">
        <v>203</v>
      </c>
      <c r="X30" s="15" t="s">
        <v>35</v>
      </c>
      <c r="Y30" s="16">
        <v>10</v>
      </c>
      <c r="Z30" s="15" t="s">
        <v>204</v>
      </c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</row>
    <row r="31" spans="1:106" x14ac:dyDescent="0.25">
      <c r="A31" s="15"/>
      <c r="B31" s="15"/>
      <c r="C31" s="15" t="s">
        <v>72</v>
      </c>
      <c r="D31" s="15" t="s">
        <v>205</v>
      </c>
      <c r="E31" s="16">
        <v>10</v>
      </c>
      <c r="F31" s="15" t="s">
        <v>206</v>
      </c>
      <c r="G31" s="15" t="s">
        <v>75</v>
      </c>
      <c r="H31" s="17" t="s">
        <v>27</v>
      </c>
      <c r="I31" s="15" t="s">
        <v>30</v>
      </c>
      <c r="J31" s="15" t="s">
        <v>30</v>
      </c>
      <c r="K31" s="15" t="s">
        <v>207</v>
      </c>
      <c r="L31" s="16">
        <v>10</v>
      </c>
      <c r="M31" s="17" t="s">
        <v>27</v>
      </c>
      <c r="N31" s="17" t="s">
        <v>30</v>
      </c>
      <c r="O31" s="15" t="s">
        <v>30</v>
      </c>
      <c r="P31" s="16">
        <v>10</v>
      </c>
      <c r="Q31" s="17" t="s">
        <v>27</v>
      </c>
      <c r="R31" s="17" t="s">
        <v>30</v>
      </c>
      <c r="S31" s="17" t="s">
        <v>27</v>
      </c>
      <c r="T31" s="17" t="s">
        <v>30</v>
      </c>
      <c r="U31" s="17" t="s">
        <v>28</v>
      </c>
      <c r="V31" s="17" t="s">
        <v>30</v>
      </c>
      <c r="W31" s="15" t="s">
        <v>208</v>
      </c>
      <c r="X31" s="15" t="s">
        <v>35</v>
      </c>
      <c r="Y31" s="16">
        <v>10</v>
      </c>
      <c r="Z31" s="15" t="s">
        <v>209</v>
      </c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</row>
    <row r="32" spans="1:106" x14ac:dyDescent="0.25">
      <c r="A32" s="15"/>
      <c r="B32" s="15"/>
      <c r="C32" s="15" t="s">
        <v>39</v>
      </c>
      <c r="D32" s="15" t="s">
        <v>210</v>
      </c>
      <c r="E32" s="16">
        <v>10</v>
      </c>
      <c r="F32" s="15" t="s">
        <v>211</v>
      </c>
      <c r="G32" s="15" t="s">
        <v>212</v>
      </c>
      <c r="H32" s="17" t="s">
        <v>27</v>
      </c>
      <c r="I32" s="15" t="s">
        <v>30</v>
      </c>
      <c r="J32" s="15" t="s">
        <v>30</v>
      </c>
      <c r="K32" s="15" t="s">
        <v>30</v>
      </c>
      <c r="L32" s="16">
        <v>10</v>
      </c>
      <c r="M32" s="17" t="s">
        <v>27</v>
      </c>
      <c r="N32" s="17" t="s">
        <v>30</v>
      </c>
      <c r="O32" s="15" t="s">
        <v>30</v>
      </c>
      <c r="P32" s="16">
        <v>10</v>
      </c>
      <c r="Q32" s="17" t="s">
        <v>27</v>
      </c>
      <c r="R32" s="17" t="s">
        <v>30</v>
      </c>
      <c r="S32" s="17" t="s">
        <v>27</v>
      </c>
      <c r="T32" s="17" t="s">
        <v>30</v>
      </c>
      <c r="U32" s="17" t="s">
        <v>28</v>
      </c>
      <c r="V32" s="17" t="s">
        <v>30</v>
      </c>
      <c r="W32" s="15" t="s">
        <v>213</v>
      </c>
      <c r="X32" s="15" t="s">
        <v>43</v>
      </c>
      <c r="Y32" s="16">
        <v>10</v>
      </c>
      <c r="Z32" s="15" t="s">
        <v>214</v>
      </c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</row>
    <row r="33" spans="1:106" x14ac:dyDescent="0.25">
      <c r="A33" s="15"/>
      <c r="B33" s="15"/>
      <c r="C33" s="15" t="s">
        <v>72</v>
      </c>
      <c r="D33" s="15" t="s">
        <v>215</v>
      </c>
      <c r="E33" s="16">
        <v>10</v>
      </c>
      <c r="F33" s="15" t="s">
        <v>75</v>
      </c>
      <c r="G33" s="15" t="s">
        <v>75</v>
      </c>
      <c r="H33" s="17" t="s">
        <v>27</v>
      </c>
      <c r="I33" s="15" t="s">
        <v>216</v>
      </c>
      <c r="J33" s="15" t="s">
        <v>216</v>
      </c>
      <c r="K33" s="15" t="s">
        <v>216</v>
      </c>
      <c r="L33" s="16">
        <v>10</v>
      </c>
      <c r="M33" s="17" t="s">
        <v>27</v>
      </c>
      <c r="N33" s="17" t="s">
        <v>216</v>
      </c>
      <c r="O33" s="15" t="s">
        <v>216</v>
      </c>
      <c r="P33" s="16">
        <v>10</v>
      </c>
      <c r="Q33" s="17" t="s">
        <v>27</v>
      </c>
      <c r="R33" s="17" t="s">
        <v>216</v>
      </c>
      <c r="S33" s="17" t="s">
        <v>27</v>
      </c>
      <c r="T33" s="17" t="s">
        <v>216</v>
      </c>
      <c r="U33" s="17" t="s">
        <v>28</v>
      </c>
      <c r="V33" s="17" t="s">
        <v>216</v>
      </c>
      <c r="W33" s="15" t="s">
        <v>216</v>
      </c>
      <c r="X33" s="15" t="s">
        <v>36</v>
      </c>
      <c r="Y33" s="16">
        <v>10</v>
      </c>
      <c r="Z33" s="15" t="s">
        <v>217</v>
      </c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</row>
    <row r="34" spans="1:106" x14ac:dyDescent="0.25">
      <c r="A34" s="15"/>
      <c r="B34" s="15"/>
      <c r="C34" s="15" t="s">
        <v>39</v>
      </c>
      <c r="D34" s="15" t="s">
        <v>41</v>
      </c>
      <c r="E34" s="16">
        <v>10</v>
      </c>
      <c r="F34" s="15" t="s">
        <v>218</v>
      </c>
      <c r="G34" s="15" t="s">
        <v>219</v>
      </c>
      <c r="H34" s="17" t="s">
        <v>27</v>
      </c>
      <c r="I34" s="15" t="s">
        <v>30</v>
      </c>
      <c r="J34" s="15" t="s">
        <v>220</v>
      </c>
      <c r="K34" s="15" t="s">
        <v>30</v>
      </c>
      <c r="L34" s="16">
        <v>10</v>
      </c>
      <c r="M34" s="17" t="s">
        <v>27</v>
      </c>
      <c r="N34" s="17" t="s">
        <v>30</v>
      </c>
      <c r="O34" s="15" t="s">
        <v>30</v>
      </c>
      <c r="P34" s="16">
        <v>10</v>
      </c>
      <c r="Q34" s="17" t="s">
        <v>27</v>
      </c>
      <c r="R34" s="17" t="s">
        <v>30</v>
      </c>
      <c r="S34" s="17" t="s">
        <v>27</v>
      </c>
      <c r="T34" s="17" t="s">
        <v>30</v>
      </c>
      <c r="U34" s="17" t="s">
        <v>28</v>
      </c>
      <c r="V34" s="17" t="s">
        <v>30</v>
      </c>
      <c r="W34" s="15" t="s">
        <v>30</v>
      </c>
      <c r="X34" s="15" t="s">
        <v>35</v>
      </c>
      <c r="Y34" s="16">
        <v>10</v>
      </c>
      <c r="Z34" s="15" t="s">
        <v>30</v>
      </c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</row>
    <row r="35" spans="1:106" x14ac:dyDescent="0.25">
      <c r="A35" s="15"/>
      <c r="B35" s="15"/>
      <c r="C35" s="15" t="s">
        <v>221</v>
      </c>
      <c r="D35" s="15" t="s">
        <v>145</v>
      </c>
      <c r="E35" s="16">
        <v>10</v>
      </c>
      <c r="F35" s="15" t="s">
        <v>222</v>
      </c>
      <c r="G35" s="15" t="s">
        <v>223</v>
      </c>
      <c r="H35" s="17" t="s">
        <v>27</v>
      </c>
      <c r="I35" s="15" t="s">
        <v>30</v>
      </c>
      <c r="J35" s="15" t="s">
        <v>224</v>
      </c>
      <c r="K35" s="15" t="s">
        <v>225</v>
      </c>
      <c r="L35" s="16">
        <v>10</v>
      </c>
      <c r="M35" s="17" t="s">
        <v>27</v>
      </c>
      <c r="N35" s="17" t="s">
        <v>30</v>
      </c>
      <c r="O35" s="15" t="s">
        <v>225</v>
      </c>
      <c r="P35" s="16">
        <v>10</v>
      </c>
      <c r="Q35" s="17" t="s">
        <v>27</v>
      </c>
      <c r="R35" s="17" t="s">
        <v>30</v>
      </c>
      <c r="S35" s="17" t="s">
        <v>27</v>
      </c>
      <c r="T35" s="17" t="s">
        <v>30</v>
      </c>
      <c r="U35" s="17" t="s">
        <v>28</v>
      </c>
      <c r="V35" s="17" t="s">
        <v>30</v>
      </c>
      <c r="W35" s="15" t="s">
        <v>226</v>
      </c>
      <c r="X35" s="15" t="s">
        <v>36</v>
      </c>
      <c r="Y35" s="16">
        <v>10</v>
      </c>
      <c r="Z35" s="15" t="s">
        <v>227</v>
      </c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</row>
    <row r="36" spans="1:106" x14ac:dyDescent="0.25">
      <c r="A36" s="15"/>
      <c r="B36" s="15"/>
      <c r="C36" s="15" t="s">
        <v>72</v>
      </c>
      <c r="D36" s="15" t="s">
        <v>228</v>
      </c>
      <c r="E36" s="16">
        <v>10</v>
      </c>
      <c r="F36" s="15" t="s">
        <v>229</v>
      </c>
      <c r="G36" s="15" t="s">
        <v>230</v>
      </c>
      <c r="H36" s="17" t="s">
        <v>27</v>
      </c>
      <c r="I36" s="15" t="s">
        <v>231</v>
      </c>
      <c r="J36" s="15" t="s">
        <v>232</v>
      </c>
      <c r="K36" s="15" t="s">
        <v>233</v>
      </c>
      <c r="L36" s="16">
        <v>10</v>
      </c>
      <c r="M36" s="17" t="s">
        <v>27</v>
      </c>
      <c r="N36" s="17" t="s">
        <v>30</v>
      </c>
      <c r="O36" s="15" t="s">
        <v>149</v>
      </c>
      <c r="P36" s="16">
        <v>10</v>
      </c>
      <c r="Q36" s="17" t="s">
        <v>27</v>
      </c>
      <c r="R36" s="17" t="s">
        <v>30</v>
      </c>
      <c r="S36" s="17" t="s">
        <v>27</v>
      </c>
      <c r="T36" s="17" t="s">
        <v>30</v>
      </c>
      <c r="U36" s="17" t="s">
        <v>28</v>
      </c>
      <c r="V36" s="17" t="s">
        <v>30</v>
      </c>
      <c r="W36" s="15" t="s">
        <v>30</v>
      </c>
      <c r="X36" s="15" t="s">
        <v>36</v>
      </c>
      <c r="Y36" s="16">
        <v>10</v>
      </c>
      <c r="Z36" s="15" t="s">
        <v>30</v>
      </c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</row>
    <row r="37" spans="1:106" x14ac:dyDescent="0.25">
      <c r="A37" s="15"/>
      <c r="B37" s="15"/>
      <c r="C37" s="15" t="s">
        <v>72</v>
      </c>
      <c r="D37" s="15" t="s">
        <v>234</v>
      </c>
      <c r="E37" s="16">
        <v>10</v>
      </c>
      <c r="F37" s="15" t="s">
        <v>235</v>
      </c>
      <c r="G37" s="15" t="s">
        <v>235</v>
      </c>
      <c r="H37" s="17" t="s">
        <v>27</v>
      </c>
      <c r="I37" s="15" t="s">
        <v>30</v>
      </c>
      <c r="J37" s="15" t="s">
        <v>30</v>
      </c>
      <c r="K37" s="15" t="s">
        <v>30</v>
      </c>
      <c r="L37" s="16">
        <v>10</v>
      </c>
      <c r="M37" s="17" t="s">
        <v>27</v>
      </c>
      <c r="N37" s="17" t="s">
        <v>30</v>
      </c>
      <c r="O37" s="15" t="s">
        <v>30</v>
      </c>
      <c r="P37" s="16">
        <v>10</v>
      </c>
      <c r="Q37" s="17" t="s">
        <v>27</v>
      </c>
      <c r="R37" s="17" t="s">
        <v>30</v>
      </c>
      <c r="S37" s="17" t="s">
        <v>27</v>
      </c>
      <c r="T37" s="17" t="s">
        <v>30</v>
      </c>
      <c r="U37" s="17" t="s">
        <v>28</v>
      </c>
      <c r="V37" s="17" t="s">
        <v>30</v>
      </c>
      <c r="W37" s="15" t="s">
        <v>30</v>
      </c>
      <c r="X37" s="15" t="s">
        <v>43</v>
      </c>
      <c r="Y37" s="16">
        <v>10</v>
      </c>
      <c r="Z37" s="15" t="s">
        <v>30</v>
      </c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</row>
    <row r="38" spans="1:106" x14ac:dyDescent="0.25">
      <c r="A38" s="15"/>
      <c r="B38" s="15"/>
      <c r="C38" s="15" t="s">
        <v>72</v>
      </c>
      <c r="D38" s="15" t="s">
        <v>236</v>
      </c>
      <c r="E38" s="16">
        <v>10</v>
      </c>
      <c r="F38" s="15" t="s">
        <v>237</v>
      </c>
      <c r="G38" s="15" t="s">
        <v>238</v>
      </c>
      <c r="H38" s="17" t="s">
        <v>27</v>
      </c>
      <c r="I38" s="15" t="s">
        <v>131</v>
      </c>
      <c r="J38" s="15" t="s">
        <v>239</v>
      </c>
      <c r="K38" s="15" t="s">
        <v>240</v>
      </c>
      <c r="L38" s="16">
        <v>10</v>
      </c>
      <c r="M38" s="17" t="s">
        <v>27</v>
      </c>
      <c r="N38" s="17" t="s">
        <v>30</v>
      </c>
      <c r="O38" s="15" t="s">
        <v>149</v>
      </c>
      <c r="P38" s="16">
        <v>10</v>
      </c>
      <c r="Q38" s="17" t="s">
        <v>27</v>
      </c>
      <c r="R38" s="17" t="s">
        <v>131</v>
      </c>
      <c r="S38" s="17" t="s">
        <v>27</v>
      </c>
      <c r="T38" s="17" t="s">
        <v>131</v>
      </c>
      <c r="U38" s="17" t="s">
        <v>28</v>
      </c>
      <c r="V38" s="17" t="s">
        <v>131</v>
      </c>
      <c r="W38" s="15" t="s">
        <v>241</v>
      </c>
      <c r="X38" s="15" t="s">
        <v>36</v>
      </c>
      <c r="Y38" s="16">
        <v>10</v>
      </c>
      <c r="Z38" s="15" t="s">
        <v>241</v>
      </c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</row>
    <row r="39" spans="1:106" x14ac:dyDescent="0.25">
      <c r="A39" s="15"/>
      <c r="B39" s="15"/>
      <c r="C39" s="15" t="s">
        <v>38</v>
      </c>
      <c r="D39" s="15" t="s">
        <v>242</v>
      </c>
      <c r="E39" s="16">
        <v>10</v>
      </c>
      <c r="F39" s="15" t="s">
        <v>243</v>
      </c>
      <c r="G39" s="15" t="s">
        <v>75</v>
      </c>
      <c r="H39" s="17" t="s">
        <v>27</v>
      </c>
      <c r="I39" s="15" t="s">
        <v>30</v>
      </c>
      <c r="J39" s="15" t="s">
        <v>244</v>
      </c>
      <c r="K39" s="15" t="s">
        <v>245</v>
      </c>
      <c r="L39" s="16">
        <v>10</v>
      </c>
      <c r="M39" s="17" t="s">
        <v>27</v>
      </c>
      <c r="N39" s="17" t="s">
        <v>30</v>
      </c>
      <c r="O39" s="15" t="s">
        <v>149</v>
      </c>
      <c r="P39" s="16">
        <v>10</v>
      </c>
      <c r="Q39" s="17" t="s">
        <v>27</v>
      </c>
      <c r="R39" s="17" t="s">
        <v>30</v>
      </c>
      <c r="S39" s="17" t="s">
        <v>27</v>
      </c>
      <c r="T39" s="17" t="s">
        <v>30</v>
      </c>
      <c r="U39" s="17" t="s">
        <v>28</v>
      </c>
      <c r="V39" s="17" t="s">
        <v>30</v>
      </c>
      <c r="W39" s="15" t="s">
        <v>225</v>
      </c>
      <c r="X39" s="15" t="s">
        <v>35</v>
      </c>
      <c r="Y39" s="16">
        <v>10</v>
      </c>
      <c r="Z39" s="15" t="s">
        <v>246</v>
      </c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</row>
    <row r="40" spans="1:106" x14ac:dyDescent="0.25">
      <c r="A40" s="15"/>
      <c r="B40" s="15"/>
      <c r="C40" s="15" t="s">
        <v>39</v>
      </c>
      <c r="D40" s="15" t="s">
        <v>247</v>
      </c>
      <c r="E40" s="16">
        <v>10</v>
      </c>
      <c r="F40" s="15" t="s">
        <v>248</v>
      </c>
      <c r="G40" s="15" t="s">
        <v>249</v>
      </c>
      <c r="H40" s="17" t="s">
        <v>27</v>
      </c>
      <c r="I40" s="15" t="s">
        <v>30</v>
      </c>
      <c r="J40" s="15" t="s">
        <v>250</v>
      </c>
      <c r="K40" s="15" t="s">
        <v>251</v>
      </c>
      <c r="L40" s="16">
        <v>10</v>
      </c>
      <c r="M40" s="17" t="s">
        <v>27</v>
      </c>
      <c r="N40" s="17" t="s">
        <v>30</v>
      </c>
      <c r="O40" s="15" t="s">
        <v>252</v>
      </c>
      <c r="P40" s="16">
        <v>10</v>
      </c>
      <c r="Q40" s="17" t="s">
        <v>27</v>
      </c>
      <c r="R40" s="17" t="s">
        <v>30</v>
      </c>
      <c r="S40" s="17" t="s">
        <v>27</v>
      </c>
      <c r="T40" s="17" t="s">
        <v>30</v>
      </c>
      <c r="U40" s="17" t="s">
        <v>28</v>
      </c>
      <c r="V40" s="17" t="s">
        <v>30</v>
      </c>
      <c r="W40" s="15" t="s">
        <v>253</v>
      </c>
      <c r="X40" s="15" t="s">
        <v>36</v>
      </c>
      <c r="Y40" s="16">
        <v>10</v>
      </c>
      <c r="Z40" s="15" t="s">
        <v>254</v>
      </c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</row>
    <row r="41" spans="1:106" x14ac:dyDescent="0.25">
      <c r="A41" s="15"/>
      <c r="B41" s="15"/>
      <c r="C41" s="15" t="s">
        <v>38</v>
      </c>
      <c r="D41" s="15" t="s">
        <v>255</v>
      </c>
      <c r="E41" s="16">
        <v>10</v>
      </c>
      <c r="F41" s="15" t="s">
        <v>255</v>
      </c>
      <c r="G41" s="15" t="s">
        <v>255</v>
      </c>
      <c r="H41" s="17" t="s">
        <v>27</v>
      </c>
      <c r="I41" s="15" t="s">
        <v>255</v>
      </c>
      <c r="J41" s="15" t="s">
        <v>255</v>
      </c>
      <c r="K41" s="15" t="s">
        <v>255</v>
      </c>
      <c r="L41" s="16">
        <v>10</v>
      </c>
      <c r="M41" s="17" t="s">
        <v>27</v>
      </c>
      <c r="N41" s="17" t="s">
        <v>255</v>
      </c>
      <c r="O41" s="15" t="s">
        <v>255</v>
      </c>
      <c r="P41" s="16">
        <v>10</v>
      </c>
      <c r="Q41" s="17" t="s">
        <v>27</v>
      </c>
      <c r="R41" s="17" t="s">
        <v>255</v>
      </c>
      <c r="S41" s="17" t="s">
        <v>27</v>
      </c>
      <c r="T41" s="17" t="s">
        <v>255</v>
      </c>
      <c r="U41" s="17" t="s">
        <v>28</v>
      </c>
      <c r="V41" s="17" t="s">
        <v>255</v>
      </c>
      <c r="W41" s="15" t="s">
        <v>255</v>
      </c>
      <c r="X41" s="15" t="s">
        <v>36</v>
      </c>
      <c r="Y41" s="16">
        <v>10</v>
      </c>
      <c r="Z41" s="15" t="s">
        <v>255</v>
      </c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</row>
    <row r="42" spans="1:106" x14ac:dyDescent="0.25">
      <c r="A42" s="15"/>
      <c r="B42" s="15"/>
      <c r="C42" s="15" t="s">
        <v>39</v>
      </c>
      <c r="D42" s="15" t="s">
        <v>256</v>
      </c>
      <c r="E42" s="16">
        <v>8</v>
      </c>
      <c r="F42" s="15" t="s">
        <v>257</v>
      </c>
      <c r="G42" s="15" t="s">
        <v>258</v>
      </c>
      <c r="H42" s="17" t="s">
        <v>27</v>
      </c>
      <c r="I42" s="15" t="s">
        <v>30</v>
      </c>
      <c r="J42" s="15" t="s">
        <v>30</v>
      </c>
      <c r="K42" s="15" t="s">
        <v>259</v>
      </c>
      <c r="L42" s="16">
        <v>9</v>
      </c>
      <c r="M42" s="17" t="s">
        <v>27</v>
      </c>
      <c r="N42" s="17" t="s">
        <v>30</v>
      </c>
      <c r="O42" s="15" t="s">
        <v>30</v>
      </c>
      <c r="P42" s="16">
        <v>8</v>
      </c>
      <c r="Q42" s="17" t="s">
        <v>27</v>
      </c>
      <c r="R42" s="17" t="s">
        <v>30</v>
      </c>
      <c r="S42" s="17" t="s">
        <v>27</v>
      </c>
      <c r="T42" s="17" t="s">
        <v>30</v>
      </c>
      <c r="U42" s="17" t="s">
        <v>28</v>
      </c>
      <c r="V42" s="17" t="s">
        <v>30</v>
      </c>
      <c r="W42" s="15" t="s">
        <v>30</v>
      </c>
      <c r="X42" s="15" t="s">
        <v>36</v>
      </c>
      <c r="Y42" s="16">
        <v>10</v>
      </c>
      <c r="Z42" s="15" t="s">
        <v>260</v>
      </c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</row>
    <row r="43" spans="1:106" x14ac:dyDescent="0.25">
      <c r="A43" s="15"/>
      <c r="B43" s="15"/>
      <c r="C43" s="15" t="s">
        <v>39</v>
      </c>
      <c r="D43" s="15" t="s">
        <v>261</v>
      </c>
      <c r="E43" s="16">
        <v>10</v>
      </c>
      <c r="F43" s="15" t="s">
        <v>262</v>
      </c>
      <c r="G43" s="15" t="s">
        <v>263</v>
      </c>
      <c r="H43" s="17" t="s">
        <v>27</v>
      </c>
      <c r="I43" s="15" t="s">
        <v>30</v>
      </c>
      <c r="J43" s="15" t="s">
        <v>174</v>
      </c>
      <c r="K43" s="15" t="s">
        <v>175</v>
      </c>
      <c r="L43" s="16">
        <v>10</v>
      </c>
      <c r="M43" s="17" t="s">
        <v>27</v>
      </c>
      <c r="N43" s="17" t="s">
        <v>30</v>
      </c>
      <c r="O43" s="15" t="s">
        <v>149</v>
      </c>
      <c r="P43" s="16">
        <v>10</v>
      </c>
      <c r="Q43" s="17" t="s">
        <v>27</v>
      </c>
      <c r="R43" s="17" t="s">
        <v>30</v>
      </c>
      <c r="S43" s="17" t="s">
        <v>27</v>
      </c>
      <c r="T43" s="17" t="s">
        <v>30</v>
      </c>
      <c r="U43" s="17" t="s">
        <v>28</v>
      </c>
      <c r="V43" s="17" t="s">
        <v>30</v>
      </c>
      <c r="W43" s="15" t="s">
        <v>264</v>
      </c>
      <c r="X43" s="15" t="s">
        <v>36</v>
      </c>
      <c r="Y43" s="16">
        <v>10</v>
      </c>
      <c r="Z43" s="15" t="s">
        <v>265</v>
      </c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</row>
    <row r="44" spans="1:106" x14ac:dyDescent="0.25">
      <c r="A44" s="15"/>
      <c r="B44" s="15"/>
      <c r="C44" s="15" t="s">
        <v>39</v>
      </c>
      <c r="D44" s="15" t="s">
        <v>266</v>
      </c>
      <c r="E44" s="16">
        <v>5</v>
      </c>
      <c r="F44" s="15" t="s">
        <v>267</v>
      </c>
      <c r="G44" s="15" t="s">
        <v>268</v>
      </c>
      <c r="H44" s="17" t="s">
        <v>27</v>
      </c>
      <c r="I44" s="15" t="s">
        <v>30</v>
      </c>
      <c r="J44" s="15" t="s">
        <v>269</v>
      </c>
      <c r="K44" s="15" t="s">
        <v>270</v>
      </c>
      <c r="L44" s="16">
        <v>8</v>
      </c>
      <c r="M44" s="17" t="s">
        <v>27</v>
      </c>
      <c r="N44" s="17" t="s">
        <v>30</v>
      </c>
      <c r="O44" s="15" t="s">
        <v>271</v>
      </c>
      <c r="P44" s="16">
        <v>8</v>
      </c>
      <c r="Q44" s="17" t="s">
        <v>27</v>
      </c>
      <c r="R44" s="17" t="s">
        <v>30</v>
      </c>
      <c r="S44" s="17" t="s">
        <v>27</v>
      </c>
      <c r="T44" s="17" t="s">
        <v>30</v>
      </c>
      <c r="U44" s="17" t="s">
        <v>28</v>
      </c>
      <c r="V44" s="17" t="s">
        <v>30</v>
      </c>
      <c r="W44" s="15" t="s">
        <v>272</v>
      </c>
      <c r="X44" s="15" t="s">
        <v>35</v>
      </c>
      <c r="Y44" s="16">
        <v>10</v>
      </c>
      <c r="Z44" s="15" t="s">
        <v>273</v>
      </c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</row>
    <row r="45" spans="1:106" x14ac:dyDescent="0.25">
      <c r="A45" s="15"/>
      <c r="B45" s="15"/>
      <c r="C45" s="15" t="s">
        <v>39</v>
      </c>
      <c r="D45" s="15" t="s">
        <v>274</v>
      </c>
      <c r="E45" s="16">
        <v>8</v>
      </c>
      <c r="F45" s="15" t="s">
        <v>275</v>
      </c>
      <c r="G45" s="15" t="s">
        <v>276</v>
      </c>
      <c r="H45" s="17" t="s">
        <v>27</v>
      </c>
      <c r="I45" s="15" t="s">
        <v>30</v>
      </c>
      <c r="J45" s="15" t="s">
        <v>277</v>
      </c>
      <c r="K45" s="15" t="s">
        <v>30</v>
      </c>
      <c r="L45" s="16">
        <v>10</v>
      </c>
      <c r="M45" s="17" t="s">
        <v>27</v>
      </c>
      <c r="N45" s="17" t="s">
        <v>30</v>
      </c>
      <c r="O45" s="15" t="s">
        <v>30</v>
      </c>
      <c r="P45" s="16">
        <v>10</v>
      </c>
      <c r="Q45" s="17" t="s">
        <v>27</v>
      </c>
      <c r="R45" s="17" t="s">
        <v>30</v>
      </c>
      <c r="S45" s="17" t="s">
        <v>27</v>
      </c>
      <c r="T45" s="17" t="s">
        <v>30</v>
      </c>
      <c r="U45" s="17" t="s">
        <v>28</v>
      </c>
      <c r="V45" s="17" t="s">
        <v>30</v>
      </c>
      <c r="W45" s="15" t="s">
        <v>30</v>
      </c>
      <c r="X45" s="15" t="s">
        <v>43</v>
      </c>
      <c r="Y45" s="16">
        <v>10</v>
      </c>
      <c r="Z45" s="15" t="s">
        <v>278</v>
      </c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</row>
    <row r="46" spans="1:106" x14ac:dyDescent="0.25">
      <c r="A46" s="15"/>
      <c r="B46" s="15"/>
      <c r="C46" s="15" t="s">
        <v>39</v>
      </c>
      <c r="D46" s="15" t="s">
        <v>30</v>
      </c>
      <c r="E46" s="16">
        <v>10</v>
      </c>
      <c r="F46" s="15" t="s">
        <v>30</v>
      </c>
      <c r="G46" s="15" t="s">
        <v>30</v>
      </c>
      <c r="H46" s="17" t="s">
        <v>27</v>
      </c>
      <c r="I46" s="15" t="s">
        <v>30</v>
      </c>
      <c r="J46" s="15" t="s">
        <v>30</v>
      </c>
      <c r="K46" s="15" t="s">
        <v>30</v>
      </c>
      <c r="L46" s="16">
        <v>10</v>
      </c>
      <c r="M46" s="17" t="s">
        <v>27</v>
      </c>
      <c r="N46" s="17" t="s">
        <v>30</v>
      </c>
      <c r="O46" s="15" t="s">
        <v>30</v>
      </c>
      <c r="P46" s="16">
        <v>10</v>
      </c>
      <c r="Q46" s="17" t="s">
        <v>27</v>
      </c>
      <c r="R46" s="17" t="s">
        <v>30</v>
      </c>
      <c r="S46" s="17" t="s">
        <v>27</v>
      </c>
      <c r="T46" s="17" t="s">
        <v>30</v>
      </c>
      <c r="U46" s="17" t="s">
        <v>28</v>
      </c>
      <c r="V46" s="17" t="s">
        <v>30</v>
      </c>
      <c r="W46" s="15" t="s">
        <v>30</v>
      </c>
      <c r="X46" s="15" t="s">
        <v>36</v>
      </c>
      <c r="Y46" s="16">
        <v>10</v>
      </c>
      <c r="Z46" s="15" t="s">
        <v>30</v>
      </c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</row>
    <row r="47" spans="1:106" x14ac:dyDescent="0.25">
      <c r="A47" s="15"/>
      <c r="B47" s="15"/>
      <c r="C47" s="15" t="s">
        <v>39</v>
      </c>
      <c r="D47" s="15" t="s">
        <v>279</v>
      </c>
      <c r="E47" s="16">
        <v>9</v>
      </c>
      <c r="F47" s="15" t="s">
        <v>280</v>
      </c>
      <c r="G47" s="15" t="s">
        <v>281</v>
      </c>
      <c r="H47" s="17" t="s">
        <v>27</v>
      </c>
      <c r="I47" s="15" t="s">
        <v>30</v>
      </c>
      <c r="J47" s="15" t="s">
        <v>282</v>
      </c>
      <c r="K47" s="15" t="s">
        <v>283</v>
      </c>
      <c r="L47" s="16">
        <v>9</v>
      </c>
      <c r="M47" s="17" t="s">
        <v>27</v>
      </c>
      <c r="N47" s="17" t="s">
        <v>131</v>
      </c>
      <c r="O47" s="15" t="s">
        <v>149</v>
      </c>
      <c r="P47" s="16">
        <v>10</v>
      </c>
      <c r="Q47" s="17" t="s">
        <v>27</v>
      </c>
      <c r="R47" s="17" t="s">
        <v>30</v>
      </c>
      <c r="S47" s="17" t="s">
        <v>27</v>
      </c>
      <c r="T47" s="17" t="s">
        <v>30</v>
      </c>
      <c r="U47" s="17" t="s">
        <v>28</v>
      </c>
      <c r="V47" s="17" t="s">
        <v>30</v>
      </c>
      <c r="W47" s="15" t="s">
        <v>284</v>
      </c>
      <c r="X47" s="15" t="s">
        <v>35</v>
      </c>
      <c r="Y47" s="16">
        <v>10</v>
      </c>
      <c r="Z47" s="15" t="s">
        <v>285</v>
      </c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</row>
    <row r="48" spans="1:10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</row>
    <row r="49" spans="1:10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</row>
    <row r="50" spans="1:10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</row>
    <row r="51" spans="1:106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</row>
    <row r="52" spans="1:10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</row>
    <row r="53" spans="1:106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</row>
    <row r="54" spans="1:106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</row>
    <row r="55" spans="1:106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</row>
    <row r="56" spans="1:106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</row>
    <row r="57" spans="1:106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</row>
    <row r="58" spans="1:10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</row>
    <row r="59" spans="1:10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</row>
    <row r="60" spans="1:10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</row>
    <row r="61" spans="1:10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</row>
    <row r="62" spans="1:10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</row>
    <row r="63" spans="1:10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</row>
    <row r="64" spans="1:10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</row>
    <row r="65" spans="1:106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</row>
    <row r="66" spans="1:106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</row>
    <row r="67" spans="1:106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</row>
    <row r="68" spans="1:10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</row>
    <row r="69" spans="1:10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</row>
    <row r="70" spans="1:10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</row>
    <row r="71" spans="1:106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</row>
    <row r="72" spans="1:106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</row>
    <row r="73" spans="1:106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</row>
    <row r="74" spans="1:106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</row>
    <row r="75" spans="1:106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</row>
    <row r="76" spans="1:106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</row>
    <row r="77" spans="1:106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</row>
    <row r="78" spans="1:106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</row>
    <row r="79" spans="1:106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</row>
    <row r="80" spans="1:106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</row>
    <row r="81" spans="1:106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</row>
    <row r="82" spans="1:106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</row>
    <row r="83" spans="1:106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</row>
    <row r="84" spans="1:106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</row>
    <row r="85" spans="1:106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</row>
    <row r="86" spans="1:106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</row>
    <row r="87" spans="1:106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</row>
    <row r="88" spans="1:106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</row>
    <row r="89" spans="1:106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</row>
    <row r="90" spans="1:106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</row>
    <row r="91" spans="1:106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</row>
    <row r="92" spans="1:106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</row>
    <row r="93" spans="1:106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</row>
    <row r="94" spans="1:106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</row>
    <row r="95" spans="1:106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</row>
    <row r="96" spans="1:106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</row>
    <row r="97" spans="1:106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</row>
    <row r="98" spans="1:106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</row>
    <row r="99" spans="1:106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</row>
    <row r="100" spans="1:106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</row>
    <row r="101" spans="1:106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</row>
    <row r="102" spans="1:106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</row>
    <row r="103" spans="1:106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</row>
    <row r="104" spans="1:106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</row>
    <row r="105" spans="1:106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</row>
    <row r="106" spans="1:106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</row>
    <row r="107" spans="1:106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</row>
    <row r="108" spans="1:106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</row>
    <row r="109" spans="1:106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</row>
    <row r="110" spans="1:106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</row>
    <row r="111" spans="1:106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</row>
    <row r="112" spans="1:106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</row>
    <row r="113" spans="1:106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</row>
    <row r="114" spans="1:106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</row>
    <row r="115" spans="1:106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</row>
    <row r="116" spans="1:106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</row>
    <row r="117" spans="1:106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</row>
    <row r="118" spans="1:106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</row>
    <row r="119" spans="1:106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</row>
    <row r="120" spans="1:106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</row>
    <row r="121" spans="1:106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</row>
    <row r="122" spans="1:106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</row>
    <row r="123" spans="1:106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</row>
    <row r="124" spans="1:106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</row>
    <row r="125" spans="1:106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</row>
    <row r="126" spans="1:106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</row>
    <row r="127" spans="1:106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</row>
    <row r="128" spans="1:106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</row>
    <row r="129" spans="1:106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</row>
    <row r="130" spans="1:106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</row>
    <row r="131" spans="1:106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</row>
    <row r="132" spans="1:106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</row>
    <row r="133" spans="1:106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</row>
    <row r="134" spans="1:106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</row>
    <row r="135" spans="1:106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</row>
    <row r="136" spans="1:106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</row>
    <row r="137" spans="1:106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</row>
    <row r="138" spans="1:106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</row>
    <row r="139" spans="1:106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</row>
    <row r="140" spans="1:106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</row>
    <row r="141" spans="1:106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</row>
    <row r="142" spans="1:106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</row>
    <row r="143" spans="1:106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</row>
    <row r="144" spans="1:106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</row>
    <row r="145" spans="1:106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</row>
    <row r="146" spans="1:106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</row>
    <row r="147" spans="1:106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</row>
    <row r="148" spans="1:106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</row>
    <row r="149" spans="1:106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</row>
    <row r="150" spans="1:106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</row>
    <row r="151" spans="1:106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</row>
    <row r="152" spans="1:106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</row>
    <row r="153" spans="1:106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</row>
    <row r="154" spans="1:106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</row>
    <row r="155" spans="1:106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</row>
    <row r="156" spans="1:106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</row>
    <row r="157" spans="1:106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</row>
    <row r="158" spans="1:106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</row>
    <row r="159" spans="1:106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</row>
    <row r="160" spans="1:106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</row>
    <row r="161" spans="1:106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</row>
    <row r="162" spans="1:106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</row>
    <row r="163" spans="1:106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</row>
    <row r="164" spans="1:106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</row>
    <row r="165" spans="1:106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</row>
    <row r="166" spans="1:106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</row>
    <row r="167" spans="1:106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</row>
    <row r="168" spans="1:106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</row>
    <row r="169" spans="1:106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</row>
    <row r="170" spans="1:106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</row>
    <row r="171" spans="1:106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</row>
    <row r="172" spans="1:106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</row>
    <row r="173" spans="1:106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</row>
    <row r="174" spans="1:106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</row>
    <row r="175" spans="1:106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</row>
    <row r="176" spans="1:106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</row>
    <row r="177" spans="1:106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</row>
    <row r="178" spans="1:106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</row>
    <row r="179" spans="1:106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</row>
    <row r="180" spans="1:106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</row>
    <row r="181" spans="1:106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</row>
    <row r="182" spans="1:106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</row>
    <row r="183" spans="1:106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</row>
    <row r="184" spans="1:106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</row>
    <row r="185" spans="1:106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</row>
    <row r="186" spans="1:106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</row>
    <row r="187" spans="1:106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</row>
    <row r="188" spans="1:106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</row>
    <row r="189" spans="1:106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</row>
    <row r="190" spans="1:106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</row>
    <row r="191" spans="1:106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</row>
    <row r="192" spans="1:106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</row>
    <row r="193" spans="1:106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</row>
    <row r="194" spans="1:106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</row>
    <row r="195" spans="1:106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</row>
    <row r="196" spans="1:106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</row>
    <row r="197" spans="1:106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</row>
    <row r="198" spans="1:106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</row>
    <row r="199" spans="1:106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</row>
    <row r="200" spans="1:106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</row>
    <row r="201" spans="1:106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</row>
    <row r="202" spans="1:106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</row>
    <row r="203" spans="1:106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</row>
    <row r="204" spans="1:106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</row>
    <row r="205" spans="1:106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</row>
    <row r="206" spans="1:106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</row>
    <row r="207" spans="1:106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</row>
    <row r="208" spans="1:106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</row>
    <row r="209" spans="1:106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</row>
    <row r="210" spans="1:106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</row>
    <row r="211" spans="1:106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</row>
    <row r="212" spans="1:106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</row>
    <row r="213" spans="1:106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</row>
    <row r="214" spans="1:106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</row>
    <row r="215" spans="1:106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</row>
    <row r="216" spans="1:106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</row>
    <row r="217" spans="1:106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</row>
    <row r="218" spans="1:106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</row>
    <row r="219" spans="1:106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</row>
    <row r="220" spans="1:106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</row>
    <row r="221" spans="1:106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</row>
    <row r="222" spans="1:106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</row>
    <row r="223" spans="1:106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</row>
    <row r="224" spans="1:106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</row>
    <row r="225" spans="1:106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</row>
    <row r="226" spans="1:106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</row>
    <row r="227" spans="1:106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</row>
    <row r="228" spans="1:106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</row>
    <row r="229" spans="1:106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</row>
    <row r="230" spans="1:106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</row>
    <row r="231" spans="1:106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</row>
    <row r="232" spans="1:106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</row>
    <row r="233" spans="1:106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</row>
    <row r="234" spans="1:106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</row>
    <row r="235" spans="1:106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</row>
    <row r="236" spans="1:106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</row>
    <row r="237" spans="1:106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</row>
    <row r="238" spans="1:106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</row>
    <row r="239" spans="1:106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</row>
    <row r="240" spans="1:106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</row>
    <row r="241" spans="1:106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</row>
    <row r="242" spans="1:106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</row>
    <row r="243" spans="1:106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</row>
    <row r="244" spans="1:106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</row>
    <row r="245" spans="1:106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</row>
    <row r="246" spans="1:106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</row>
    <row r="247" spans="1:106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</row>
    <row r="248" spans="1:106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</row>
    <row r="249" spans="1:106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</row>
    <row r="250" spans="1:106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</row>
    <row r="251" spans="1:106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</row>
    <row r="252" spans="1:106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</row>
    <row r="253" spans="1:106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</row>
    <row r="254" spans="1:106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</row>
    <row r="255" spans="1:106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</row>
    <row r="256" spans="1:106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</row>
    <row r="257" spans="1:106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</row>
    <row r="258" spans="1:106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</row>
    <row r="259" spans="1:106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</row>
    <row r="260" spans="1:106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</row>
    <row r="261" spans="1:106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</row>
    <row r="262" spans="1:106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</row>
    <row r="263" spans="1:106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</row>
    <row r="264" spans="1:106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</row>
    <row r="265" spans="1:106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</row>
    <row r="266" spans="1:106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</row>
    <row r="267" spans="1:106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</row>
    <row r="268" spans="1:106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</row>
    <row r="269" spans="1:106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</row>
    <row r="270" spans="1:106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</row>
    <row r="271" spans="1:106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</row>
    <row r="272" spans="1:106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</row>
    <row r="273" spans="1:106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</row>
    <row r="274" spans="1:106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</row>
    <row r="275" spans="1:106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</row>
    <row r="276" spans="1:106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</row>
    <row r="277" spans="1:106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</row>
    <row r="278" spans="1:106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</row>
    <row r="279" spans="1:106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</row>
    <row r="280" spans="1:106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</row>
    <row r="281" spans="1:106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</row>
    <row r="282" spans="1:106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</row>
    <row r="283" spans="1:106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</row>
    <row r="284" spans="1:106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</row>
    <row r="285" spans="1:106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</row>
    <row r="286" spans="1:106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</row>
    <row r="287" spans="1:106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</row>
    <row r="288" spans="1:106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</row>
    <row r="289" spans="1:106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</row>
    <row r="290" spans="1:106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</row>
    <row r="291" spans="1:106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</row>
    <row r="292" spans="1:106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</row>
    <row r="293" spans="1:106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</row>
    <row r="294" spans="1:106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</row>
    <row r="295" spans="1:106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</row>
    <row r="296" spans="1:106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</row>
    <row r="297" spans="1:106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</row>
    <row r="298" spans="1:106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</row>
    <row r="299" spans="1:106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</row>
    <row r="300" spans="1:106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</row>
    <row r="301" spans="1:106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</row>
    <row r="302" spans="1:106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</row>
    <row r="303" spans="1:106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</row>
    <row r="304" spans="1:106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</row>
    <row r="305" spans="1:106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</row>
    <row r="306" spans="1:106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</row>
    <row r="307" spans="1:106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</row>
    <row r="308" spans="1:106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</row>
    <row r="309" spans="1:106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</row>
    <row r="310" spans="1:106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</row>
    <row r="311" spans="1:106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</row>
    <row r="312" spans="1:106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</row>
    <row r="313" spans="1:106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</row>
    <row r="314" spans="1:106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</row>
    <row r="315" spans="1:106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</row>
    <row r="316" spans="1:106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</row>
    <row r="317" spans="1:106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</row>
    <row r="318" spans="1:106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</row>
    <row r="319" spans="1:106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</row>
    <row r="320" spans="1:106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</row>
    <row r="321" spans="1:106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</row>
    <row r="322" spans="1:106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</row>
    <row r="323" spans="1:106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</row>
    <row r="324" spans="1:106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</row>
    <row r="325" spans="1:106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</row>
    <row r="326" spans="1:106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</row>
    <row r="327" spans="1:106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</row>
    <row r="328" spans="1:106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</row>
    <row r="329" spans="1:106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</row>
    <row r="330" spans="1:106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</row>
    <row r="331" spans="1:106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</row>
    <row r="332" spans="1:106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</row>
    <row r="333" spans="1:106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</row>
    <row r="334" spans="1:106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</row>
    <row r="335" spans="1:106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</row>
    <row r="336" spans="1:106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</row>
    <row r="337" spans="1:106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</row>
    <row r="338" spans="1:106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</row>
    <row r="339" spans="1:106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</row>
    <row r="340" spans="1:106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</row>
    <row r="341" spans="1:106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</row>
    <row r="342" spans="1:106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</row>
    <row r="343" spans="1:106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</row>
    <row r="344" spans="1:106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</row>
    <row r="345" spans="1:106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</row>
    <row r="346" spans="1:106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</row>
    <row r="347" spans="1:106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</row>
    <row r="348" spans="1:106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</row>
    <row r="349" spans="1:106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</row>
    <row r="350" spans="1:106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</row>
    <row r="351" spans="1:106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</row>
    <row r="352" spans="1:106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</row>
    <row r="353" spans="1:106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</row>
    <row r="354" spans="1:106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</row>
    <row r="355" spans="1:106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</row>
    <row r="356" spans="1:106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</row>
    <row r="357" spans="1:106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</row>
    <row r="358" spans="1:106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</row>
    <row r="359" spans="1:106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</row>
    <row r="360" spans="1:106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</row>
    <row r="361" spans="1:106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</row>
    <row r="362" spans="1:106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</row>
    <row r="363" spans="1:106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</row>
    <row r="364" spans="1:106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</row>
    <row r="365" spans="1:106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</row>
    <row r="366" spans="1:106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</row>
    <row r="367" spans="1:106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</row>
    <row r="368" spans="1:106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</row>
    <row r="369" spans="1:106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</row>
    <row r="370" spans="1:106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</row>
    <row r="371" spans="1:106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</row>
    <row r="372" spans="1:106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</row>
    <row r="373" spans="1:106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</row>
    <row r="374" spans="1:106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</row>
    <row r="375" spans="1:106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</row>
    <row r="376" spans="1:106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</row>
    <row r="377" spans="1:106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</row>
    <row r="378" spans="1:106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</row>
    <row r="379" spans="1:106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</row>
    <row r="380" spans="1:106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</row>
    <row r="381" spans="1:106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</row>
    <row r="382" spans="1:106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</row>
    <row r="383" spans="1:106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</row>
    <row r="384" spans="1:106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</row>
    <row r="385" spans="1:106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</row>
    <row r="386" spans="1:106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</row>
    <row r="387" spans="1:106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</row>
    <row r="388" spans="1:106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</row>
    <row r="389" spans="1:106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</row>
    <row r="390" spans="1:106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</row>
    <row r="391" spans="1:106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</row>
    <row r="392" spans="1:106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</row>
    <row r="393" spans="1:106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</row>
    <row r="394" spans="1:106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</row>
    <row r="395" spans="1:106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</row>
    <row r="396" spans="1:106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</row>
    <row r="397" spans="1:106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</row>
    <row r="398" spans="1:106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</row>
    <row r="399" spans="1:106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</row>
    <row r="400" spans="1:106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</row>
    <row r="401" spans="1:106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</row>
    <row r="402" spans="1:106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</row>
    <row r="403" spans="1:106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</row>
    <row r="404" spans="1:106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</row>
    <row r="405" spans="1:106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</row>
    <row r="406" spans="1:106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</row>
    <row r="407" spans="1:106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</row>
    <row r="408" spans="1:106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</row>
    <row r="409" spans="1:106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</row>
    <row r="410" spans="1:106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</row>
    <row r="411" spans="1:106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</row>
    <row r="412" spans="1:106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</row>
    <row r="413" spans="1:106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</row>
    <row r="414" spans="1:106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</row>
    <row r="415" spans="1:106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</row>
    <row r="416" spans="1:106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</row>
    <row r="417" spans="1:106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</row>
    <row r="418" spans="1:106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</row>
    <row r="419" spans="1:106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</row>
    <row r="420" spans="1:106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</row>
    <row r="421" spans="1:106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</row>
    <row r="422" spans="1:106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</row>
    <row r="423" spans="1:106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</row>
    <row r="424" spans="1:106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</row>
    <row r="425" spans="1:106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</row>
    <row r="426" spans="1:106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</row>
    <row r="427" spans="1:106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</row>
    <row r="428" spans="1:106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</row>
    <row r="429" spans="1:106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</row>
    <row r="430" spans="1:106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</row>
    <row r="431" spans="1:106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</row>
    <row r="432" spans="1:106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</row>
    <row r="433" spans="1:106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</row>
    <row r="434" spans="1:106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</row>
    <row r="435" spans="1:106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</row>
    <row r="436" spans="1:106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</row>
    <row r="437" spans="1:106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</row>
    <row r="438" spans="1:106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</row>
    <row r="439" spans="1:106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</row>
    <row r="440" spans="1:106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</row>
    <row r="441" spans="1:106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</row>
    <row r="442" spans="1:106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</row>
    <row r="443" spans="1:106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</row>
    <row r="444" spans="1:106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</row>
    <row r="445" spans="1:106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</row>
    <row r="446" spans="1:106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</row>
    <row r="447" spans="1:106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</row>
    <row r="448" spans="1:106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</row>
    <row r="449" spans="1:106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</row>
    <row r="450" spans="1:106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</row>
    <row r="451" spans="1:106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</row>
    <row r="452" spans="1:106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</row>
    <row r="453" spans="1:106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</row>
    <row r="454" spans="1:106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</row>
    <row r="455" spans="1:106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</row>
    <row r="456" spans="1:106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</row>
    <row r="457" spans="1:106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</row>
    <row r="458" spans="1:106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</row>
    <row r="459" spans="1:106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</row>
    <row r="460" spans="1:106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</row>
    <row r="461" spans="1:106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</row>
    <row r="462" spans="1:106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</row>
    <row r="463" spans="1:106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</row>
    <row r="464" spans="1:106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</row>
    <row r="465" spans="1:106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</row>
    <row r="466" spans="1:106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</row>
    <row r="467" spans="1:106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</row>
    <row r="468" spans="1:106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</row>
    <row r="469" spans="1:106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</row>
    <row r="470" spans="1:106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</row>
    <row r="471" spans="1:106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</row>
    <row r="472" spans="1:106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</row>
    <row r="473" spans="1:106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</row>
    <row r="474" spans="1:106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</row>
    <row r="475" spans="1:106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</row>
    <row r="476" spans="1:106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</row>
    <row r="477" spans="1:106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</row>
    <row r="478" spans="1:106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</row>
    <row r="479" spans="1:106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</row>
    <row r="480" spans="1:106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</row>
    <row r="481" spans="1:106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</row>
    <row r="482" spans="1:106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</row>
    <row r="483" spans="1:106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</row>
    <row r="484" spans="1:106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</row>
    <row r="485" spans="1:106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</row>
    <row r="486" spans="1:106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</row>
    <row r="487" spans="1:106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</row>
    <row r="488" spans="1:106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</row>
    <row r="489" spans="1:106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</row>
    <row r="490" spans="1:106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</row>
    <row r="491" spans="1:106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</row>
    <row r="492" spans="1:106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</row>
    <row r="493" spans="1:106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</row>
    <row r="494" spans="1:106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</row>
    <row r="495" spans="1:106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</row>
    <row r="496" spans="1:106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</row>
    <row r="497" spans="1:106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</row>
    <row r="498" spans="1:106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</row>
    <row r="499" spans="1:106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</row>
    <row r="500" spans="1:106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</row>
    <row r="501" spans="1:106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</row>
    <row r="502" spans="1:106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</row>
    <row r="503" spans="1:106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</row>
    <row r="504" spans="1:106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</row>
    <row r="505" spans="1:106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</row>
    <row r="506" spans="1:106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</row>
    <row r="507" spans="1:106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</row>
    <row r="508" spans="1:106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</row>
    <row r="509" spans="1:106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</row>
    <row r="510" spans="1:106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</row>
    <row r="511" spans="1:106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</row>
    <row r="512" spans="1:106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</row>
    <row r="513" spans="1:106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</row>
    <row r="514" spans="1:106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</row>
    <row r="515" spans="1:106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</row>
    <row r="516" spans="1:106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</row>
    <row r="517" spans="1:106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</row>
    <row r="518" spans="1:106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</row>
    <row r="519" spans="1:106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</row>
    <row r="520" spans="1:106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</row>
    <row r="521" spans="1:106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</row>
    <row r="522" spans="1:106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</row>
    <row r="523" spans="1:106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</row>
    <row r="524" spans="1:106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</row>
    <row r="525" spans="1:106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</row>
    <row r="526" spans="1:106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</row>
    <row r="527" spans="1:106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</row>
    <row r="528" spans="1:106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</row>
    <row r="529" spans="1:106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</row>
    <row r="530" spans="1:106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</row>
    <row r="531" spans="1:106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</row>
    <row r="532" spans="1:106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</row>
    <row r="533" spans="1:106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</row>
    <row r="534" spans="1:106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</row>
    <row r="535" spans="1:106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</row>
    <row r="536" spans="1:106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</row>
    <row r="537" spans="1:106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</row>
    <row r="538" spans="1:106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</row>
    <row r="539" spans="1:106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</row>
    <row r="540" spans="1:106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</row>
    <row r="541" spans="1:106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</row>
    <row r="542" spans="1:106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</row>
    <row r="543" spans="1:106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</row>
    <row r="544" spans="1:106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</row>
    <row r="545" spans="1:106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</row>
    <row r="546" spans="1:106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</row>
    <row r="547" spans="1:106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</row>
    <row r="548" spans="1:106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</row>
    <row r="549" spans="1:106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</row>
    <row r="550" spans="1:106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</row>
    <row r="551" spans="1:106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</row>
    <row r="552" spans="1:106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</row>
    <row r="553" spans="1:106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</row>
    <row r="554" spans="1:106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</row>
    <row r="555" spans="1:106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</row>
    <row r="556" spans="1:106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</row>
    <row r="557" spans="1:106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</row>
    <row r="558" spans="1:106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</row>
    <row r="559" spans="1:106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</row>
    <row r="560" spans="1:106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</row>
    <row r="561" spans="1:106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</row>
    <row r="562" spans="1:106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</row>
    <row r="563" spans="1:106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</row>
    <row r="564" spans="1:106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</row>
    <row r="565" spans="1:106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</row>
    <row r="566" spans="1:106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</row>
    <row r="567" spans="1:106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</row>
    <row r="568" spans="1:106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</row>
    <row r="569" spans="1:106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</row>
    <row r="570" spans="1:106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</row>
    <row r="571" spans="1:106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</row>
    <row r="572" spans="1:106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</row>
    <row r="573" spans="1:106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</row>
    <row r="574" spans="1:106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</row>
    <row r="575" spans="1:106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</row>
    <row r="576" spans="1:106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</row>
    <row r="577" spans="1:106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</row>
    <row r="578" spans="1:106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</row>
    <row r="579" spans="1:106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</row>
    <row r="580" spans="1:106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</row>
    <row r="581" spans="1:106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</row>
    <row r="582" spans="1:106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</row>
    <row r="583" spans="1:106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</row>
    <row r="584" spans="1:106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</row>
    <row r="585" spans="1:106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</row>
    <row r="586" spans="1:106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</row>
    <row r="587" spans="1:106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</row>
    <row r="588" spans="1:106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</row>
    <row r="589" spans="1:106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</row>
    <row r="590" spans="1:106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</row>
    <row r="591" spans="1:106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</row>
    <row r="592" spans="1:106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</row>
    <row r="593" spans="1:106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</row>
    <row r="594" spans="1:106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</row>
    <row r="595" spans="1:106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</row>
    <row r="596" spans="1:106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</row>
    <row r="597" spans="1:106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</row>
    <row r="598" spans="1:106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</row>
    <row r="599" spans="1:106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</row>
    <row r="600" spans="1:106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</row>
    <row r="601" spans="1:106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</row>
    <row r="602" spans="1:106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</row>
    <row r="603" spans="1:106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</row>
    <row r="604" spans="1:106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</row>
    <row r="605" spans="1:106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</row>
    <row r="606" spans="1:106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</row>
    <row r="607" spans="1:106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</row>
    <row r="608" spans="1:106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</row>
    <row r="609" spans="1:106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</row>
    <row r="610" spans="1:106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</row>
    <row r="611" spans="1:106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</row>
    <row r="612" spans="1:106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</row>
    <row r="613" spans="1:106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</row>
    <row r="614" spans="1:106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</row>
    <row r="615" spans="1:106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</row>
    <row r="616" spans="1:106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</row>
    <row r="617" spans="1:106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</row>
    <row r="618" spans="1:106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</row>
    <row r="619" spans="1:106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</row>
    <row r="620" spans="1:106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</row>
    <row r="621" spans="1:106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</row>
    <row r="622" spans="1:106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</row>
    <row r="623" spans="1:106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</row>
    <row r="624" spans="1:106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</row>
    <row r="625" spans="1:106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</row>
    <row r="626" spans="1:106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</row>
    <row r="627" spans="1:106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</row>
    <row r="628" spans="1:106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</row>
    <row r="629" spans="1:106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</row>
    <row r="630" spans="1:106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</row>
    <row r="631" spans="1:106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</row>
    <row r="632" spans="1:106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</row>
    <row r="633" spans="1:106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</row>
    <row r="634" spans="1:106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</row>
    <row r="635" spans="1:106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</row>
    <row r="636" spans="1:106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</row>
    <row r="637" spans="1:106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</row>
    <row r="638" spans="1:106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</row>
    <row r="639" spans="1:106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</row>
    <row r="640" spans="1:106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</row>
    <row r="641" spans="1:106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</row>
    <row r="642" spans="1:106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</row>
    <row r="643" spans="1:106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</row>
    <row r="644" spans="1:106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</row>
    <row r="645" spans="1:106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</row>
    <row r="646" spans="1:106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</row>
    <row r="647" spans="1:106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</row>
    <row r="648" spans="1:106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</row>
    <row r="649" spans="1:106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</row>
    <row r="650" spans="1:106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</row>
    <row r="651" spans="1:106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</row>
    <row r="652" spans="1:106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</row>
    <row r="653" spans="1:106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</row>
    <row r="654" spans="1:106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</row>
    <row r="655" spans="1:106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</row>
    <row r="656" spans="1:106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</row>
    <row r="657" spans="1:106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</row>
    <row r="658" spans="1:106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</row>
    <row r="659" spans="1:106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</row>
    <row r="660" spans="1:106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</row>
    <row r="661" spans="1:106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</row>
    <row r="662" spans="1:106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</row>
    <row r="663" spans="1:106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</row>
    <row r="664" spans="1:106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</row>
    <row r="665" spans="1:106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</row>
    <row r="666" spans="1:106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</row>
    <row r="667" spans="1:106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</row>
    <row r="668" spans="1:106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</row>
    <row r="669" spans="1:106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</row>
    <row r="670" spans="1:106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</row>
    <row r="671" spans="1:106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</row>
    <row r="672" spans="1:106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</row>
    <row r="673" spans="1:106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</row>
    <row r="674" spans="1:106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</row>
    <row r="675" spans="1:106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</row>
    <row r="676" spans="1:106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</row>
    <row r="677" spans="1:106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</row>
    <row r="678" spans="1:106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</row>
    <row r="679" spans="1:106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</row>
    <row r="680" spans="1:106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</row>
    <row r="681" spans="1:106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</row>
    <row r="682" spans="1:106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</row>
    <row r="683" spans="1:106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</row>
    <row r="684" spans="1:106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</row>
    <row r="685" spans="1:106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</row>
    <row r="686" spans="1:106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</row>
    <row r="687" spans="1:106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</row>
    <row r="688" spans="1:106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</row>
    <row r="689" spans="1:106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</row>
    <row r="690" spans="1:106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</row>
    <row r="691" spans="1:106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</row>
    <row r="692" spans="1:106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</row>
    <row r="693" spans="1:106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</row>
    <row r="694" spans="1:106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</row>
    <row r="695" spans="1:106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</row>
    <row r="696" spans="1:106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</row>
    <row r="697" spans="1:106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</row>
    <row r="698" spans="1:106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</row>
    <row r="699" spans="1:106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</row>
    <row r="700" spans="1:106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</row>
    <row r="701" spans="1:106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</row>
    <row r="702" spans="1:106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</row>
    <row r="703" spans="1:106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</row>
    <row r="704" spans="1:106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</row>
    <row r="705" spans="1:106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</row>
    <row r="706" spans="1:106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</row>
    <row r="707" spans="1:106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</row>
    <row r="708" spans="1:106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</row>
    <row r="709" spans="1:106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</row>
    <row r="710" spans="1:106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</row>
    <row r="711" spans="1:106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</row>
    <row r="712" spans="1:106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</row>
    <row r="713" spans="1:106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</row>
    <row r="714" spans="1:106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</row>
    <row r="715" spans="1:106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</row>
    <row r="716" spans="1:106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</row>
    <row r="717" spans="1:106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</row>
    <row r="718" spans="1:106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</row>
    <row r="719" spans="1:106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</row>
    <row r="720" spans="1:106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</row>
    <row r="721" spans="1:106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</row>
    <row r="722" spans="1:106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</row>
    <row r="723" spans="1:106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</row>
    <row r="724" spans="1:106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</row>
    <row r="725" spans="1:106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</row>
    <row r="726" spans="1:106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</row>
    <row r="727" spans="1:106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</row>
    <row r="728" spans="1:106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</row>
    <row r="729" spans="1:106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</row>
    <row r="730" spans="1:106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</row>
    <row r="731" spans="1:106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</row>
    <row r="732" spans="1:106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</row>
    <row r="733" spans="1:106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</row>
    <row r="734" spans="1:106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</row>
    <row r="735" spans="1:106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</row>
    <row r="736" spans="1:106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</row>
    <row r="737" spans="1:106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</row>
    <row r="738" spans="1:106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</row>
    <row r="739" spans="1:106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</row>
    <row r="740" spans="1:106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</row>
    <row r="741" spans="1:106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</row>
    <row r="742" spans="1:106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</row>
    <row r="743" spans="1:106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</row>
    <row r="744" spans="1:106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</row>
    <row r="745" spans="1:106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</row>
    <row r="746" spans="1:106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</row>
    <row r="747" spans="1:106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</row>
    <row r="748" spans="1:106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</row>
    <row r="749" spans="1:106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</row>
    <row r="750" spans="1:106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</row>
    <row r="751" spans="1:106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</row>
    <row r="752" spans="1:106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</row>
    <row r="753" spans="1:106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</row>
    <row r="754" spans="1:106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</row>
    <row r="755" spans="1:106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</row>
    <row r="756" spans="1:106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</row>
    <row r="757" spans="1:106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</row>
    <row r="758" spans="1:106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</row>
    <row r="759" spans="1:106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</row>
    <row r="760" spans="1:106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</row>
    <row r="761" spans="1:106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</row>
    <row r="762" spans="1:106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</row>
    <row r="763" spans="1:106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</row>
    <row r="764" spans="1:106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</row>
    <row r="765" spans="1:106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</row>
    <row r="766" spans="1:106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</row>
    <row r="767" spans="1:106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</row>
    <row r="768" spans="1:106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</row>
    <row r="769" spans="1:106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</row>
    <row r="770" spans="1:106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</row>
    <row r="771" spans="1:106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</row>
    <row r="772" spans="1:106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</row>
    <row r="773" spans="1:106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</row>
    <row r="774" spans="1:106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</row>
    <row r="775" spans="1:106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</row>
    <row r="776" spans="1:106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</row>
    <row r="777" spans="1:106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</row>
    <row r="778" spans="1:106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</row>
    <row r="779" spans="1:106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</row>
    <row r="780" spans="1:106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</row>
    <row r="781" spans="1:106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</row>
    <row r="782" spans="1:106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</row>
    <row r="783" spans="1:106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</row>
    <row r="784" spans="1:106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</row>
    <row r="785" spans="1:106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</row>
    <row r="786" spans="1:106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</row>
    <row r="787" spans="1:106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</row>
    <row r="788" spans="1:106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</row>
    <row r="789" spans="1:106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</row>
    <row r="790" spans="1:106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</row>
    <row r="791" spans="1:106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</row>
    <row r="792" spans="1:106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</row>
    <row r="793" spans="1:106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</row>
    <row r="794" spans="1:106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</row>
    <row r="795" spans="1:106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</row>
    <row r="796" spans="1:106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</row>
    <row r="797" spans="1:106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</row>
    <row r="798" spans="1:106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</row>
    <row r="799" spans="1:106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</row>
    <row r="800" spans="1:106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</row>
    <row r="801" spans="1:106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</row>
    <row r="802" spans="1:106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</row>
    <row r="803" spans="1:106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</row>
    <row r="804" spans="1:106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</row>
    <row r="805" spans="1:106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</row>
    <row r="806" spans="1:106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</row>
    <row r="807" spans="1:106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</row>
    <row r="808" spans="1:106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</row>
    <row r="809" spans="1:106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</row>
    <row r="810" spans="1:106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</row>
    <row r="811" spans="1:106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</row>
    <row r="812" spans="1:106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</row>
    <row r="813" spans="1:106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</row>
    <row r="814" spans="1:106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</row>
    <row r="815" spans="1:106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</row>
    <row r="816" spans="1:106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</row>
    <row r="817" spans="1:106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</row>
    <row r="818" spans="1:106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</row>
    <row r="819" spans="1:106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</row>
    <row r="820" spans="1:106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</row>
    <row r="821" spans="1:106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</row>
    <row r="822" spans="1:106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</row>
    <row r="823" spans="1:106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</row>
    <row r="824" spans="1:106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</row>
    <row r="825" spans="1:106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</row>
    <row r="826" spans="1:106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</row>
    <row r="827" spans="1:106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</row>
    <row r="828" spans="1:106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</row>
    <row r="829" spans="1:106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</row>
    <row r="830" spans="1:106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</row>
    <row r="831" spans="1:106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</row>
    <row r="832" spans="1:106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</row>
    <row r="833" spans="1:106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</row>
    <row r="834" spans="1:106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</row>
    <row r="835" spans="1:106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</row>
    <row r="836" spans="1:106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</row>
    <row r="837" spans="1:106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</row>
    <row r="838" spans="1:106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</row>
    <row r="839" spans="1:106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</row>
    <row r="840" spans="1:106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</row>
    <row r="841" spans="1:106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</row>
    <row r="842" spans="1:106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</row>
    <row r="843" spans="1:106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</row>
    <row r="844" spans="1:106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</row>
    <row r="845" spans="1:106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</row>
    <row r="846" spans="1:106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</row>
    <row r="847" spans="1:106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</row>
    <row r="848" spans="1:106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</row>
    <row r="849" spans="1:106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</row>
    <row r="850" spans="1:106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</row>
    <row r="851" spans="1:106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</row>
    <row r="852" spans="1:106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</row>
    <row r="853" spans="1:106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</row>
    <row r="854" spans="1:106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</row>
    <row r="855" spans="1:106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</row>
    <row r="856" spans="1:106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</row>
    <row r="857" spans="1:106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</row>
    <row r="858" spans="1:106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</row>
    <row r="859" spans="1:106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</row>
    <row r="860" spans="1:106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</row>
    <row r="861" spans="1:106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</row>
    <row r="862" spans="1:106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</row>
    <row r="863" spans="1:106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</row>
    <row r="864" spans="1:106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</row>
    <row r="865" spans="1:106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</row>
    <row r="866" spans="1:106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</row>
    <row r="867" spans="1:106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</row>
    <row r="868" spans="1:106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</row>
    <row r="869" spans="1:106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</row>
    <row r="870" spans="1:106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</row>
    <row r="871" spans="1:106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</row>
    <row r="872" spans="1:106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</row>
    <row r="873" spans="1:106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</row>
    <row r="874" spans="1:106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</row>
    <row r="875" spans="1:106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</row>
    <row r="876" spans="1:106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</row>
    <row r="877" spans="1:106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</row>
    <row r="878" spans="1:106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</row>
    <row r="879" spans="1:106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</row>
    <row r="880" spans="1:106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</row>
    <row r="881" spans="1:106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</row>
    <row r="882" spans="1:106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</row>
    <row r="883" spans="1:106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</row>
    <row r="884" spans="1:106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</row>
    <row r="885" spans="1:106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</row>
    <row r="886" spans="1:106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</row>
    <row r="887" spans="1:106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</row>
    <row r="888" spans="1:106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</row>
    <row r="889" spans="1:106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</row>
    <row r="890" spans="1:106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</row>
    <row r="891" spans="1:106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</row>
    <row r="892" spans="1:106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</row>
    <row r="893" spans="1:106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</row>
    <row r="894" spans="1:106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</row>
    <row r="895" spans="1:106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</row>
    <row r="896" spans="1:106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</row>
    <row r="897" spans="1:106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</row>
    <row r="898" spans="1:106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</row>
    <row r="899" spans="1:106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</row>
    <row r="900" spans="1:106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</row>
    <row r="901" spans="1:106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</row>
    <row r="902" spans="1:106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</row>
    <row r="903" spans="1:106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</row>
    <row r="904" spans="1:106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</row>
    <row r="905" spans="1:106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</row>
    <row r="906" spans="1:106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</row>
    <row r="907" spans="1:106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</row>
    <row r="908" spans="1:106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</row>
    <row r="909" spans="1:106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</row>
    <row r="910" spans="1:106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</row>
    <row r="911" spans="1:106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</row>
    <row r="912" spans="1:106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</row>
    <row r="913" spans="1:106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</row>
    <row r="914" spans="1:106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</row>
    <row r="915" spans="1:106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</row>
    <row r="916" spans="1:106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</row>
    <row r="917" spans="1:106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</row>
    <row r="918" spans="1:106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</row>
    <row r="919" spans="1:106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</row>
    <row r="920" spans="1:106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</row>
    <row r="921" spans="1:106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</row>
    <row r="922" spans="1:106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</row>
    <row r="923" spans="1:106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</row>
    <row r="924" spans="1:106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</row>
    <row r="925" spans="1:106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</row>
    <row r="926" spans="1:106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</row>
    <row r="927" spans="1:106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</row>
    <row r="928" spans="1:106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</row>
    <row r="929" spans="1:106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</row>
    <row r="930" spans="1:106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</row>
    <row r="931" spans="1:106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</row>
    <row r="932" spans="1:106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</row>
    <row r="933" spans="1:106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</row>
    <row r="934" spans="1:106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</row>
    <row r="935" spans="1:106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</row>
    <row r="936" spans="1:106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</row>
    <row r="937" spans="1:106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</row>
    <row r="938" spans="1:106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</row>
    <row r="939" spans="1:106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</row>
    <row r="940" spans="1:106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</row>
    <row r="941" spans="1:106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</row>
    <row r="942" spans="1:106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</row>
    <row r="943" spans="1:106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</row>
    <row r="944" spans="1:106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</row>
    <row r="945" spans="1:106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</row>
    <row r="946" spans="1:106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</row>
  </sheetData>
  <autoFilter ref="A1:Z36">
    <sortState ref="A2:Z47">
      <sortCondition descending="1" ref="U1:U36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"/>
  <sheetViews>
    <sheetView workbookViewId="0">
      <selection activeCell="B4" sqref="B4"/>
    </sheetView>
  </sheetViews>
  <sheetFormatPr defaultRowHeight="15" x14ac:dyDescent="0.25"/>
  <cols>
    <col min="2" max="2" width="24" customWidth="1"/>
    <col min="3" max="3" width="23.42578125" customWidth="1"/>
    <col min="4" max="4" width="23" customWidth="1"/>
    <col min="5" max="5" width="24.140625" customWidth="1"/>
    <col min="6" max="6" width="23.42578125" customWidth="1"/>
    <col min="7" max="7" width="24.28515625" customWidth="1"/>
    <col min="8" max="8" width="9.140625" customWidth="1"/>
  </cols>
  <sheetData>
    <row r="2" spans="2:12" ht="24.75" customHeight="1" x14ac:dyDescent="0.25">
      <c r="B2" s="18" t="s">
        <v>6</v>
      </c>
      <c r="C2" s="18"/>
      <c r="D2" s="18"/>
      <c r="E2" s="18"/>
      <c r="F2" s="18"/>
      <c r="G2" s="18"/>
    </row>
    <row r="3" spans="2:12" s="1" customFormat="1" ht="50.25" customHeight="1" x14ac:dyDescent="0.25">
      <c r="B3" s="3" t="s">
        <v>0</v>
      </c>
      <c r="C3" s="3" t="s">
        <v>1</v>
      </c>
      <c r="D3" s="3" t="s">
        <v>2</v>
      </c>
      <c r="E3" s="3" t="s">
        <v>3</v>
      </c>
      <c r="F3" s="3" t="s">
        <v>5</v>
      </c>
      <c r="G3" s="3" t="s">
        <v>4</v>
      </c>
      <c r="H3" s="2"/>
      <c r="I3" s="2"/>
      <c r="J3" s="2"/>
      <c r="K3" s="2"/>
      <c r="L3" s="2"/>
    </row>
    <row r="4" spans="2:12" ht="49.5" customHeight="1" x14ac:dyDescent="0.25">
      <c r="B4" s="8">
        <f>AVERAGE('Исходные данные (итог. анкета)'!E2:E56)</f>
        <v>9.3260869565217384</v>
      </c>
      <c r="C4" s="8">
        <f>AVERAGE('Исходные данные (итог. анкета)'!L2:L56)</f>
        <v>9.6521739130434785</v>
      </c>
      <c r="D4" s="8">
        <f>AVERAGE('Исходные данные (итог. анкета)'!P2:P56)</f>
        <v>9.7173913043478262</v>
      </c>
      <c r="E4" s="7">
        <f>COUNTIF('Исходные данные (итог. анкета)'!U2:U56,"нет")/COUNTA('Исходные данные (итог. анкета)'!U2:U498)</f>
        <v>1</v>
      </c>
      <c r="F4" s="8">
        <f>AVERAGE('Исходные данные (итог. анкета)'!Y2:Y58)</f>
        <v>9.9347826086956523</v>
      </c>
      <c r="G4" s="4">
        <f>AVERAGE(B4:D4,F4)</f>
        <v>9.6576086956521756</v>
      </c>
    </row>
  </sheetData>
  <mergeCells count="1">
    <mergeCell ref="B2:G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Исходные данные (итог. анкета)</vt:lpstr>
      <vt:lpstr>Ключевые показатели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Рудович Александра Анатольевна</dc:creator>
  <cp:lastModifiedBy>Тарханова Людмила Александровна</cp:lastModifiedBy>
  <dcterms:created xsi:type="dcterms:W3CDTF">2025-12-17T09:08:45Z</dcterms:created>
  <dcterms:modified xsi:type="dcterms:W3CDTF">2026-07-01T10:13:02Z</dcterms:modified>
</cp:coreProperties>
</file>