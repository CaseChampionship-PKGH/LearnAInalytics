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анкета)'!$A$1:$Y$37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2" l="1"/>
  <c r="E4" i="2"/>
  <c r="D4" i="2"/>
  <c r="C4" i="2"/>
  <c r="B4" i="2" l="1"/>
  <c r="G4" i="2" l="1"/>
</calcChain>
</file>

<file path=xl/sharedStrings.xml><?xml version="1.0" encoding="utf-8"?>
<sst xmlns="http://schemas.openxmlformats.org/spreadsheetml/2006/main" count="672" uniqueCount="332">
  <si>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</si>
  <si>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</si>
  <si>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</si>
  <si>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</si>
  <si>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</si>
  <si>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</si>
  <si>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</si>
  <si>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</si>
  <si>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</si>
  <si>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</si>
  <si>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</si>
  <si>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</si>
  <si>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Был ли достигнут ожидаемый эффект от обучения? Если нет, напишите, пожалуйста, почему?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</si>
  <si>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</si>
  <si>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</si>
  <si>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Достаточно ли практических заданий, примеров, разборов ситуаций? Если нет, какие темы и (или) вопросы требуют большей практической отработки?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</si>
  <si>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</si>
  <si>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</si>
  <si>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</si>
  <si>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Чувствовали ли Вы свою отстраненность от процесса, потерю интереса во время обучения? Если да, в какие моменты обучения они возникали?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</si>
  <si>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</si>
  <si>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</si>
  <si>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</si>
  <si>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</si>
  <si>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</si>
  <si>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</si>
  <si>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</si>
  <si>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ведущий специалист</t>
  </si>
  <si>
    <t>Специалист 1-й категории</t>
  </si>
  <si>
    <t>начальник отдела</t>
  </si>
  <si>
    <t>главный специалист</t>
  </si>
  <si>
    <t>Главный специалист</t>
  </si>
  <si>
    <t>специалист 1-й категории</t>
  </si>
  <si>
    <t>да</t>
  </si>
  <si>
    <t>нет</t>
  </si>
  <si>
    <t>Напишите, пожалуйста, почему</t>
  </si>
  <si>
    <t>-</t>
  </si>
  <si>
    <t>никакие</t>
  </si>
  <si>
    <t>ничего</t>
  </si>
  <si>
    <t>Ничего.</t>
  </si>
  <si>
    <t>Ничего</t>
  </si>
  <si>
    <t>Какие темы и (или) вопросы требуют большей практической отработки? Напишите, пожалуйста, почему</t>
  </si>
  <si>
    <t xml:space="preserve"> Напишите, пожалуйста, подробно</t>
  </si>
  <si>
    <t>Напишите, пожалуйста, подробно</t>
  </si>
  <si>
    <t>Если да, в какие моменты обучения они возникали</t>
  </si>
  <si>
    <t>все хорошо</t>
  </si>
  <si>
    <t>очное обучение в аудиториях Корпоративного университета</t>
  </si>
  <si>
    <t>смешанное обучение: частично очно, частично дистанционно</t>
  </si>
  <si>
    <t>отдел организационной работы и взаимодействия с органами местного самоуправления</t>
  </si>
  <si>
    <t>никаких</t>
  </si>
  <si>
    <t>сохраняется</t>
  </si>
  <si>
    <t>могла</t>
  </si>
  <si>
    <t>Отдел организационной работы и взаимодействия с органами местного самоуправления</t>
  </si>
  <si>
    <t/>
  </si>
  <si>
    <t>сектор писем и приема граждан</t>
  </si>
  <si>
    <t>Общий отдел</t>
  </si>
  <si>
    <t>сектор контроля писем и обращений граждан</t>
  </si>
  <si>
    <t>Отдел здравоохранения</t>
  </si>
  <si>
    <t>Сектор социальной защиты ветеранов и инвалидов</t>
  </si>
  <si>
    <t>Сектор образовательных учреждений</t>
  </si>
  <si>
    <t>отдел капитального ремонта</t>
  </si>
  <si>
    <t>отдел документационного обеспечения</t>
  </si>
  <si>
    <t>отдел образования</t>
  </si>
  <si>
    <t>отдел районного хозяйства</t>
  </si>
  <si>
    <t>Жилищный отдел</t>
  </si>
  <si>
    <t>Отдел районного хозяйства</t>
  </si>
  <si>
    <t>Отдел по взаимодействию с органами власти и организациями при предоставлении государственных и муниципальных услуг</t>
  </si>
  <si>
    <t>Организационный отдел</t>
  </si>
  <si>
    <t>Сектор контроля</t>
  </si>
  <si>
    <t>отдел потребительского рынка</t>
  </si>
  <si>
    <t>Отдел государственного регулирования в сфере охраны окружающей среды</t>
  </si>
  <si>
    <t>отдел организационной работы, документационного обеспечения и внешних связей</t>
  </si>
  <si>
    <t>сектор регламентации деятельности учебных заведений</t>
  </si>
  <si>
    <t>отдел строительства и реконструкции</t>
  </si>
  <si>
    <t>Отдел контроля северных районов</t>
  </si>
  <si>
    <t>сектор социального развития, пособий и социальной защиты населения</t>
  </si>
  <si>
    <t>отдел обеспечения деятельности оперативного штаба</t>
  </si>
  <si>
    <t>сектор социальной защиты семьи и детства</t>
  </si>
  <si>
    <t>Ведущий специалист</t>
  </si>
  <si>
    <t>особенности рассмотрения обращений граждан, практические примеры, разбор типичных ошибок</t>
  </si>
  <si>
    <t>Лекции о порядке рассмотрения обращений, управление манипуляциями</t>
  </si>
  <si>
    <t>обращение граждан всегда актуальная тема</t>
  </si>
  <si>
    <t>Сроки по работе с обращением, обязанности ггс</t>
  </si>
  <si>
    <t>Все, за исключением ЖКХ</t>
  </si>
  <si>
    <t>вопросы личного приема, вопросы об альтернативных способах обращений граждан в органы власти, было актуально рассмотреть примеры, предлагаемые преподавателями, а также посмотреть как устроена работа с обращениями граждан в Управлении по работе с обращениями граждан Администрации губернатора</t>
  </si>
  <si>
    <t>Порядок рассмотрения обращений, переадресации рассмотрений. Манипуляции при общении с гражданами</t>
  </si>
  <si>
    <t>В целом все было актуально для освежения знаний и навыков в памяти</t>
  </si>
  <si>
    <t>Сроки по обращениям, перенаправление обращений.
Компетенции ИОГВ</t>
  </si>
  <si>
    <t>Все вопросы были важны и актуальны.</t>
  </si>
  <si>
    <t>контроль за соблюдением порядка рассмотрения обращений
актуальны для работы</t>
  </si>
  <si>
    <t>В рамках должностных обязанностей приходится работать с обращениями граждан, я новый сотрудник, необходимо было получить теоретические знания.</t>
  </si>
  <si>
    <t>вопросы по срокам рассмотрения обращений, по категориям обращений</t>
  </si>
  <si>
    <t>Примеры рассмотрений граждан, возможные ошибки</t>
  </si>
  <si>
    <t>работа с обращениями в портале обратной связи.</t>
  </si>
  <si>
    <t>подготовка ответов на обращения - т.к. это один из актуальных вопросов в моей работе</t>
  </si>
  <si>
    <t>Рассмотрение различных вариантов (на примерах) обращений граждан.</t>
  </si>
  <si>
    <t>Законы. Психологический тренинг.</t>
  </si>
  <si>
    <t>социальное обеспечение</t>
  </si>
  <si>
    <t>работа с обращениями в социальной сфере в ввиду специфики деятельности</t>
  </si>
  <si>
    <t>Правила отработки обращений граждан, переадресация по компетенции</t>
  </si>
  <si>
    <t>Все вопросы актуальны</t>
  </si>
  <si>
    <t>=</t>
  </si>
  <si>
    <t>все</t>
  </si>
  <si>
    <t>Вопросы, связанные с рассмотрением обращений граждан по социальным вопросам и вопросам ЖКХ</t>
  </si>
  <si>
    <t>Порядок рассмотрения отдельных обращений</t>
  </si>
  <si>
    <t>Вопросы обращения граждан. Знания пригодятся в работе.</t>
  </si>
  <si>
    <t>информация по обращениям , заполнение бланков, написание ответов.</t>
  </si>
  <si>
    <t>Сроки обращения граждан</t>
  </si>
  <si>
    <t>полученные в ходе обучения знания помогли мне более эффективно работать с обращениями граждан</t>
  </si>
  <si>
    <t>Обучение было интересным, полезным, в доступной форме</t>
  </si>
  <si>
    <t>Интересное и полезное</t>
  </si>
  <si>
    <t>работать в команде, как общаться с заявителями</t>
  </si>
  <si>
    <t>это всегда полезно</t>
  </si>
  <si>
    <t>Противостояние манипуляция граждан</t>
  </si>
  <si>
    <t>Так как ранее не работал и не изучал 59 ФЗ, сейчас есть понимание</t>
  </si>
  <si>
    <t>все
Психологического воздействия и манипуляции</t>
  </si>
  <si>
    <t>Получила новые знания, опыт Обновилась ранее полученная информация</t>
  </si>
  <si>
    <t>организация личного приема, обновление информации о деятельности органа власти на веб-странице</t>
  </si>
  <si>
    <t>были получены более углубленные знания о работе с обращениями граждан и полученные знания рассмотрены на конкретных примерах</t>
  </si>
  <si>
    <t>Соблюдение сроков рассмотрения обращений сроки переадресации</t>
  </si>
  <si>
    <t>Полученные знания помогут качественное отвечать на обращения граждан</t>
  </si>
  <si>
    <t>Защита от манипуляций</t>
  </si>
  <si>
    <t>Знание 59-ФЗ, умение противостоять манипулированию.</t>
  </si>
  <si>
    <t>Практическая отработка теоретических знаний.</t>
  </si>
  <si>
    <t>Все знания, умения и навыки, полученные на программе я смогу применить в своей деятельности.</t>
  </si>
  <si>
    <t>Очень много новой и полезной информации, которую можно применить в работе.</t>
  </si>
  <si>
    <t>практически все</t>
  </si>
  <si>
    <t>узнала много полезных и интересных</t>
  </si>
  <si>
    <t>Знание законодательства, знакомство с регламентом, работы с нестандартными ситуациями</t>
  </si>
  <si>
    <t>Интенсивность обучения</t>
  </si>
  <si>
    <t>порядок направления обращений по компетенции, сроки направления, порядок рассмотрения обращений депутатов</t>
  </si>
  <si>
    <t>Получены дополнительные знания</t>
  </si>
  <si>
    <t>Очень много полезных нюансов при рассмотрении обращений и проведении очных приемов с гражданами</t>
  </si>
  <si>
    <t>личный прием
психологические приемы</t>
  </si>
  <si>
    <t>исчерпывающие знания по заявленной теме</t>
  </si>
  <si>
    <t>Новые формилиуровки</t>
  </si>
  <si>
    <t>Получены новые знания</t>
  </si>
  <si>
    <t>Как общаться с заявителем.</t>
  </si>
  <si>
    <t>Актуализированы раннее приобретенные знания</t>
  </si>
  <si>
    <t>Общение с гражданами. Поиск информации при нестандартных обращениях.</t>
  </si>
  <si>
    <t>Расширение кругозора. Повторение материала.</t>
  </si>
  <si>
    <t>получение, закрепление знаний и навыков</t>
  </si>
  <si>
    <t>проведение личного приема</t>
  </si>
  <si>
    <t>затрудняюсь ответить</t>
  </si>
  <si>
    <t>Постоянно работаю с обращениями граждан</t>
  </si>
  <si>
    <t>Научили внимательно, до последнего слова читать жалобы, отвечать на все поставленные вопросы</t>
  </si>
  <si>
    <t>Противодействие манипуляциям</t>
  </si>
  <si>
    <t>*</t>
  </si>
  <si>
    <t>общение с гражданами</t>
  </si>
  <si>
    <t>актуально в работе</t>
  </si>
  <si>
    <t>рассмотрение обращений во всех асректах</t>
  </si>
  <si>
    <t>Я стала лучше рассматривать обращения и писать ответы</t>
  </si>
  <si>
    <t>На практике применить полученные знания</t>
  </si>
  <si>
    <t>На данной программе обучения были разобраны варианты обращений, которые мне в работе еще не попадались</t>
  </si>
  <si>
    <t>Навыки коммуникаций с гражданами, ответы на обращения.</t>
  </si>
  <si>
    <t>Почерпнула для себя много новой информации.</t>
  </si>
  <si>
    <t>грамотно давать ответы и знание работы с сайтами</t>
  </si>
  <si>
    <t>Умение анализировать суть жалобы, перенаправление обращения по компетентности</t>
  </si>
  <si>
    <t>соблюдение законодательства, исключение нарушения сроков ответа на обращения граждан</t>
  </si>
  <si>
    <t>все темы важны</t>
  </si>
  <si>
    <t>для моей профессиональной деятельности озвученных тем было достаточно</t>
  </si>
  <si>
    <t>Положительные примеры решения вопросов в обращениях граждан</t>
  </si>
  <si>
    <t>Как правильно перенаправлять обращения, которые находятся вне компетенции
Группы по направлениям деятельности. поскольку все участники в разной степени занимаются обращениями</t>
  </si>
  <si>
    <t>нет таких нет</t>
  </si>
  <si>
    <t>все в меру</t>
  </si>
  <si>
    <t>История</t>
  </si>
  <si>
    <t>таких тем и вопросов нет, программа охватывает все сферы работы с обращениями граждан</t>
  </si>
  <si>
    <t>тему про оформление документов (расположение реквизитов, написание адресатов, как правильно выровнять поля у документа,  как расположить ЭЦП, чтобы она не закрывала инициалы подписанта)</t>
  </si>
  <si>
    <t>Вопросы по узким специализациям при работе с обращениями граждан</t>
  </si>
  <si>
    <t>Психологические аспекты при работе с гражданами на личном приеме</t>
  </si>
  <si>
    <t>Считаю что достаточно одной лекции по рассмотрению обращений в сфере районного хозяйства. Т.к. на обучении находятся специалисты из разных сфер</t>
  </si>
  <si>
    <t>Побольше лекций на психологические темы</t>
  </si>
  <si>
    <t>Никакие, все полезны.</t>
  </si>
  <si>
    <t>Все хорошо, все как надо.</t>
  </si>
  <si>
    <t>думаю, что все вопросы актуальны и нужны</t>
  </si>
  <si>
    <t>о работе в СЭД с обращениями граждан</t>
  </si>
  <si>
    <t>Оставить все</t>
  </si>
  <si>
    <t>практикой написания конкретных ответов гражданам.</t>
  </si>
  <si>
    <t>Все темы полезны</t>
  </si>
  <si>
    <t>Начинать программу необходимо с занятия с психологом</t>
  </si>
  <si>
    <t>Никакие</t>
  </si>
  <si>
    <t>темы Шингаева С.М.</t>
  </si>
  <si>
    <t>повторяющиеся моменты в программах лекторов</t>
  </si>
  <si>
    <t>психология</t>
  </si>
  <si>
    <t>предложения отсутствуют</t>
  </si>
  <si>
    <t>Предложение отсутствует</t>
  </si>
  <si>
    <t>Рассмотрение обращений граждан по вопросам ЖКХ</t>
  </si>
  <si>
    <t>Таких тем нет.</t>
  </si>
  <si>
    <t>_</t>
  </si>
  <si>
    <t>достаточно</t>
  </si>
  <si>
    <t>необходимо учитывать специфику работы, например работа  с обращениями в сфере ЖКХ носит определенную специфику</t>
  </si>
  <si>
    <t>работа с обращениями в социальной сфере</t>
  </si>
  <si>
    <t>Все темы отражены</t>
  </si>
  <si>
    <t>можно оставить все</t>
  </si>
  <si>
    <t>всего достаточно</t>
  </si>
  <si>
    <t>Мне были интересны все темы</t>
  </si>
  <si>
    <t>Не могу ответить</t>
  </si>
  <si>
    <t>Весь курс полезен</t>
  </si>
  <si>
    <t>Может быть международный</t>
  </si>
  <si>
    <t>Все вопросы раскрыты в полном объеме, дополнить нечего.</t>
  </si>
  <si>
    <t>Рассмотрение жалоб на решения государственных органов</t>
  </si>
  <si>
    <t>теория и практика были сбалансированы</t>
  </si>
  <si>
    <t>я бы не хотела ничего менять</t>
  </si>
  <si>
    <t>Общение и коммуникативные навыки</t>
  </si>
  <si>
    <t>Взаимодействие между лекторами и слушателями по вопросам из собственной практики</t>
  </si>
  <si>
    <t>Работа с медициной, социалкой, так как много подводных камней.</t>
  </si>
  <si>
    <t>все вопросы рассмотрены в достаточном объеме</t>
  </si>
  <si>
    <t>необходимо добавить темы для рассмотрения на практических примерах, которые вызывают повышенный интерес у граждан</t>
  </si>
  <si>
    <t>Формулировки ответов</t>
  </si>
  <si>
    <t>нет такого</t>
  </si>
  <si>
    <t>Все и так очень полезно и интересно.</t>
  </si>
  <si>
    <t>личный прием</t>
  </si>
  <si>
    <t>Написание конкретных ответов гражданам, не только устный разбор готовых овтетов.</t>
  </si>
  <si>
    <t>Занятия в дневное время.</t>
  </si>
  <si>
    <t>Работа с обращениями по линии ЖКХ</t>
  </si>
  <si>
    <t>Занятия целесообразно проводить в дневное время</t>
  </si>
  <si>
    <t>Вопросы очного общения с гражданами, а также по телефону</t>
  </si>
  <si>
    <t>ничего, увеличить количество</t>
  </si>
  <si>
    <t>все требуют</t>
  </si>
  <si>
    <t>включить вопрос ответов на обращение на порталах</t>
  </si>
  <si>
    <t>предложение отсутствует</t>
  </si>
  <si>
    <t>проведение занятий в более ранее время, а не после 18.30 часов</t>
  </si>
  <si>
    <t>Темы социальной сферы.</t>
  </si>
  <si>
    <t>Не хватало перерыва между вечерними (после работы) занятиями</t>
  </si>
  <si>
    <t>Один выходной вечер в пятидневном обучении.</t>
  </si>
  <si>
    <t>социальная сфера</t>
  </si>
  <si>
    <t>разбор конкретных ситуаций</t>
  </si>
  <si>
    <t>Все понравилось</t>
  </si>
  <si>
    <t>время</t>
  </si>
  <si>
    <t>По всем темам было рассмотрение  практических ситуаций</t>
  </si>
  <si>
    <t>Не знаю</t>
  </si>
  <si>
    <t>Все полноценно</t>
  </si>
  <si>
    <t>Нет таких вопросов</t>
  </si>
  <si>
    <t>Обучение написанию понятных ответов на сложные вопросы</t>
  </si>
  <si>
    <t>последовательность тем сохранена, от истории к законодательству и рассмотрение примеров отдельных обращений, в том числе по сферам</t>
  </si>
  <si>
    <t>На занятиях преподавателями давалась возможность задать интересующие вопросы как в ходе занятия, так и по окончании, в перерывах и получить на них ответы</t>
  </si>
  <si>
    <t>Подробно и логично</t>
  </si>
  <si>
    <t>Преподаватели отзывчивые</t>
  </si>
  <si>
    <t>все очень последовательно</t>
  </si>
  <si>
    <t>на все вопросы были даны ответы</t>
  </si>
  <si>
    <t>Были заданы вопросы связанные с обработкой обращений в системе ОНФ. Помощь.</t>
  </si>
  <si>
    <t>сначала рассказывается об истории обращений граждан, потом о способах обращения граждан в ИОГВ, а завершает обучение лекция о личном приеме граждан</t>
  </si>
  <si>
    <t>преподаватели на все интересующие вопросы давали развернутый ответ, при необходимости подкрепляли конкретными примерами из практики работы</t>
  </si>
  <si>
    <t>Представленные темы были разобраны подробно</t>
  </si>
  <si>
    <t>На поставленные вопросы были даны исчерпывающие ответы</t>
  </si>
  <si>
    <t>Материал выстроен от общих вопросов к узким.</t>
  </si>
  <si>
    <t>Преподаватели отвечали на вопросы во время занятий, предлагали задать вопрос, составляли контактные данные для обратной связи.</t>
  </si>
  <si>
    <t>все логично</t>
  </si>
  <si>
    <t>например, о порядке рассмотрению отдельных обращений</t>
  </si>
  <si>
    <t>материал выстроен логично</t>
  </si>
  <si>
    <t>Можно было задать вопросы преподавателям по конкретным ситуациям, возникающие на работе.</t>
  </si>
  <si>
    <t>От основа законодательства к конкретным практическим занятиям для применения этого законодательства</t>
  </si>
  <si>
    <t>Преподаватели очень подробно отвечали на все поставленные вопросы</t>
  </si>
  <si>
    <t>все четко структурированно, но есть повтореение</t>
  </si>
  <si>
    <t>получали компетентный ответ</t>
  </si>
  <si>
    <t>в целом все соответствует</t>
  </si>
  <si>
    <t>преподаватели всегда шли на общение</t>
  </si>
  <si>
    <t>Темы изложены подробно и последовательно.</t>
  </si>
  <si>
    <t>Ответы даны.</t>
  </si>
  <si>
    <t>получила ответы</t>
  </si>
  <si>
    <t>Преподаватели отвечали на вопросы, возникающие в процессе обучения</t>
  </si>
  <si>
    <t>все лаконично и логично</t>
  </si>
  <si>
    <t>при возникновении задавала</t>
  </si>
  <si>
    <t>Замечаний нет</t>
  </si>
  <si>
    <t>Да, я задавала интересующий меня вопрос</t>
  </si>
  <si>
    <t>Программа начинается с исторической справки, затем нормативная база, потом практические примеры</t>
  </si>
  <si>
    <t>Все преподаватели после лекции предлагали задать вопросы</t>
  </si>
  <si>
    <t>Все материалы изложены подробно</t>
  </si>
  <si>
    <t>Ответы на все вопросы были даны в полной мере</t>
  </si>
  <si>
    <t>интерес во время обучения присутствовал каждый день обучения</t>
  </si>
  <si>
    <t>меня все утраивало</t>
  </si>
  <si>
    <t>Вечернее время</t>
  </si>
  <si>
    <t>возможность некоторых уроков дистанционно</t>
  </si>
  <si>
    <t>я была вовлечена в процесс</t>
  </si>
  <si>
    <t>отсутствует</t>
  </si>
  <si>
    <t>не чувствовала</t>
  </si>
  <si>
    <t>ежедневная работа с обращениями граждан</t>
  </si>
  <si>
    <t>Предоставление информации, касающейся личных данных граждан, В Управление по работе с обращениями граждан</t>
  </si>
  <si>
    <t>Обучение в дневное время</t>
  </si>
  <si>
    <t>Не очень интересны 2 лекции в сфере районного хозяйства</t>
  </si>
  <si>
    <t>Более ранее время проведение очных занятий</t>
  </si>
  <si>
    <t>Все хорошо, вовлеченность и так максимальная, очень интересно.</t>
  </si>
  <si>
    <t>не возникли</t>
  </si>
  <si>
    <t>обучение не вечернее время обучения</t>
  </si>
  <si>
    <t>Вовлеченность не уменьшалась</t>
  </si>
  <si>
    <t>не возникали</t>
  </si>
  <si>
    <t>Больше конкретных примеров</t>
  </si>
  <si>
    <t>Очень тяжело заниматься после полного рабочего дня, на втором часу обучения очень тяжело быть вовлечённым на все 100</t>
  </si>
  <si>
    <t>Обучение в течение рабочего времени, а не после</t>
  </si>
  <si>
    <t>из-за времени занятий</t>
  </si>
  <si>
    <t>смешанные формы</t>
  </si>
  <si>
    <t>Такие моменты не возникали</t>
  </si>
  <si>
    <t>время проведения занятий</t>
  </si>
  <si>
    <t>Не возникали.</t>
  </si>
  <si>
    <t>Была вовлечена в процессе обучения.</t>
  </si>
  <si>
    <t>Большее количество утренних занятий</t>
  </si>
  <si>
    <t>Только усталость</t>
  </si>
  <si>
    <t>Дневное обучение, иногда</t>
  </si>
  <si>
    <t>беседы</t>
  </si>
  <si>
    <t>при рассмотрении работы в сфере ЖКХ</t>
  </si>
  <si>
    <t>учет специфики работы</t>
  </si>
  <si>
    <t>не возникало</t>
  </si>
  <si>
    <t>Таких ситуаций не было</t>
  </si>
  <si>
    <t>Не возникали</t>
  </si>
  <si>
    <t>Всего достаточно</t>
  </si>
  <si>
    <t>не возникло</t>
  </si>
  <si>
    <t>Вовлеченность в процесс была полной</t>
  </si>
  <si>
    <t>информация доводилась куратором своевременно, в полном объеме, возможность обратной связи</t>
  </si>
  <si>
    <t>Взаимодействие отличное</t>
  </si>
  <si>
    <t>полностью дистанционный формат обучения</t>
  </si>
  <si>
    <t>все было замечательно, спасибо преподавателям</t>
  </si>
  <si>
    <t>Все письма приходили в срок, была обратная связь</t>
  </si>
  <si>
    <t>отс</t>
  </si>
  <si>
    <t>все вопросы сотрудники Корпоративного университета решали оперативно и качественно</t>
  </si>
  <si>
    <t>Доброжелательное отношение</t>
  </si>
  <si>
    <t>Всегда на связи, оперативно решали возникающие вопросы.</t>
  </si>
  <si>
    <t>все очень профессионально! спасибо!</t>
  </si>
  <si>
    <t>Прекрасная обратная связь, вежливость обучения, сопровождение на протяжении всего обучения</t>
  </si>
  <si>
    <t>Обучение было эффективным</t>
  </si>
  <si>
    <t>Заблаговременное информирование о сроках, порядке обучения в течение всего курса. Получение на почту учебных материалов.</t>
  </si>
  <si>
    <t>все на высшем уровне</t>
  </si>
  <si>
    <t>получила новые знания и знакомства с коллегами</t>
  </si>
  <si>
    <t>Взаимодействие со слушателями организовано эффективно.</t>
  </si>
  <si>
    <t>Всегда 10</t>
  </si>
  <si>
    <t>все доступно и понятно</t>
  </si>
  <si>
    <t>активное взаимодействик</t>
  </si>
  <si>
    <t>Эффективное взаимодействие</t>
  </si>
  <si>
    <t>очень эффективно</t>
  </si>
  <si>
    <t>всегда во время была дана информация и в полном объеме</t>
  </si>
  <si>
    <t>У меня не было проблем во время обучения</t>
  </si>
  <si>
    <t>Сотрудники вовлеченно отвечали на все вопросы</t>
  </si>
  <si>
    <t>Отличное обучение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</si>
</sst>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0" fontId="0" fillId="0" borderId="0" xfId="0" applyAlignment="1"/>
    <xf numFmtId="0" fontId="0" fillId="0" borderId="0" xfId="0" applyNumberFormat="1" applyAlignment="1"/>
    <xf numFmtId="0" fontId="0" fillId="0" borderId="1" xfId="0" applyBorder="1"/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7"/>
  <sheetViews>
    <sheetView tabSelected="1" zoomScale="80" zoomScaleNormal="80" workbookViewId="0">
      <selection activeCell="A2" sqref="A2:A34"/>
    </sheetView>
  </sheetViews>
  <sheetFormatPr defaultRowHeight="15" x14ac:dyDescent="0.25"/>
  <cols>
    <col min="1" max="1" width="31.5703125" style="7" customWidth="1"/>
    <col min="2" max="2" width="22.28515625" style="7" customWidth="1"/>
    <col min="3" max="3" width="22.42578125" style="7" customWidth="1"/>
    <col min="4" max="4" width="27.42578125" style="7" customWidth="1"/>
    <col min="5" max="5" width="28.28515625" style="7" customWidth="1"/>
    <col min="6" max="6" width="27.28515625" style="7" customWidth="1"/>
    <col min="7" max="8" width="26.85546875" style="7" customWidth="1"/>
    <col min="9" max="9" width="26.5703125" style="7" customWidth="1"/>
    <col min="10" max="10" width="27" style="7" customWidth="1"/>
    <col min="11" max="11" width="32.140625" style="7" customWidth="1"/>
    <col min="12" max="13" width="25.7109375" style="7" customWidth="1"/>
    <col min="14" max="14" width="25.140625" style="7" customWidth="1"/>
    <col min="15" max="15" width="26.28515625" style="7" customWidth="1"/>
    <col min="16" max="17" width="24.85546875" style="7" customWidth="1"/>
    <col min="18" max="19" width="23.5703125" style="7" customWidth="1"/>
    <col min="20" max="21" width="24.85546875" style="7" customWidth="1"/>
    <col min="22" max="22" width="24" style="7" customWidth="1"/>
    <col min="23" max="23" width="24.28515625" style="7" customWidth="1"/>
    <col min="24" max="24" width="35.5703125" style="7" customWidth="1"/>
    <col min="25" max="25" width="24.140625" style="7" customWidth="1"/>
    <col min="26" max="26" width="21.140625" style="7" customWidth="1"/>
    <col min="27" max="27" width="20.28515625" style="7" customWidth="1"/>
    <col min="28" max="16384" width="9.140625" style="7"/>
  </cols>
  <sheetData>
    <row r="1" spans="1:25" s="1" customFormat="1" ht="173.25" customHeight="1" x14ac:dyDescent="0.25">
      <c r="A1" s="5" t="s">
        <v>7</v>
      </c>
      <c r="B1" s="5" t="s">
        <v>8</v>
      </c>
      <c r="C1" s="5" t="s">
        <v>9</v>
      </c>
      <c r="D1" s="4" t="s">
        <v>23</v>
      </c>
      <c r="E1" s="5" t="s">
        <v>10</v>
      </c>
      <c r="F1" s="5" t="s">
        <v>11</v>
      </c>
      <c r="G1" s="5" t="s">
        <v>12</v>
      </c>
      <c r="H1" s="5" t="s">
        <v>35</v>
      </c>
      <c r="I1" s="5" t="s">
        <v>13</v>
      </c>
      <c r="J1" s="5" t="s">
        <v>14</v>
      </c>
      <c r="K1" s="4" t="s">
        <v>24</v>
      </c>
      <c r="L1" s="5" t="s">
        <v>15</v>
      </c>
      <c r="M1" s="14" t="s">
        <v>41</v>
      </c>
      <c r="N1" s="14" t="s">
        <v>16</v>
      </c>
      <c r="O1" s="4" t="s">
        <v>25</v>
      </c>
      <c r="P1" s="5" t="s">
        <v>17</v>
      </c>
      <c r="Q1" s="5" t="s">
        <v>42</v>
      </c>
      <c r="R1" s="5" t="s">
        <v>18</v>
      </c>
      <c r="S1" s="5" t="s">
        <v>43</v>
      </c>
      <c r="T1" s="5" t="s">
        <v>19</v>
      </c>
      <c r="U1" s="5" t="s">
        <v>44</v>
      </c>
      <c r="V1" s="5" t="s">
        <v>20</v>
      </c>
      <c r="W1" s="5" t="s">
        <v>21</v>
      </c>
      <c r="X1" s="5" t="s">
        <v>26</v>
      </c>
      <c r="Y1" s="5" t="s">
        <v>22</v>
      </c>
    </row>
    <row r="2" spans="1:25" x14ac:dyDescent="0.25">
      <c r="A2" s="9"/>
      <c r="B2" s="9" t="s">
        <v>52</v>
      </c>
      <c r="C2" s="9" t="s">
        <v>30</v>
      </c>
      <c r="D2" s="10">
        <v>10</v>
      </c>
      <c r="E2" s="9" t="s">
        <v>79</v>
      </c>
      <c r="F2" s="9" t="s">
        <v>108</v>
      </c>
      <c r="G2" s="11" t="s">
        <v>33</v>
      </c>
      <c r="H2" s="9" t="s">
        <v>109</v>
      </c>
      <c r="I2" s="9" t="s">
        <v>159</v>
      </c>
      <c r="J2" s="9" t="s">
        <v>160</v>
      </c>
      <c r="K2" s="10">
        <v>10</v>
      </c>
      <c r="L2" s="11" t="s">
        <v>33</v>
      </c>
      <c r="M2" s="9" t="s">
        <v>201</v>
      </c>
      <c r="N2" s="9" t="s">
        <v>202</v>
      </c>
      <c r="O2" s="10">
        <v>10</v>
      </c>
      <c r="P2" s="12" t="s">
        <v>33</v>
      </c>
      <c r="Q2" s="9" t="s">
        <v>234</v>
      </c>
      <c r="R2" s="12" t="s">
        <v>33</v>
      </c>
      <c r="S2" s="9" t="s">
        <v>235</v>
      </c>
      <c r="T2" s="11" t="s">
        <v>34</v>
      </c>
      <c r="U2" s="9" t="s">
        <v>269</v>
      </c>
      <c r="V2" s="9" t="s">
        <v>270</v>
      </c>
      <c r="W2" s="9" t="s">
        <v>47</v>
      </c>
      <c r="X2" s="10">
        <v>10</v>
      </c>
      <c r="Y2" s="9" t="s">
        <v>307</v>
      </c>
    </row>
    <row r="3" spans="1:25" x14ac:dyDescent="0.25">
      <c r="A3" s="9"/>
      <c r="B3" s="9" t="s">
        <v>53</v>
      </c>
      <c r="C3" s="9" t="s">
        <v>53</v>
      </c>
      <c r="D3" s="10">
        <v>7</v>
      </c>
      <c r="E3" s="9" t="s">
        <v>80</v>
      </c>
      <c r="F3" s="9" t="s">
        <v>102</v>
      </c>
      <c r="G3" s="11" t="s">
        <v>33</v>
      </c>
      <c r="H3" s="9" t="s">
        <v>110</v>
      </c>
      <c r="I3" s="9" t="s">
        <v>161</v>
      </c>
      <c r="J3" s="9" t="s">
        <v>162</v>
      </c>
      <c r="K3" s="10">
        <v>8</v>
      </c>
      <c r="L3" s="11" t="s">
        <v>33</v>
      </c>
      <c r="M3" s="9" t="s">
        <v>203</v>
      </c>
      <c r="N3" s="9" t="s">
        <v>204</v>
      </c>
      <c r="O3" s="10">
        <v>7</v>
      </c>
      <c r="P3" s="12" t="s">
        <v>33</v>
      </c>
      <c r="Q3" s="9" t="s">
        <v>236</v>
      </c>
      <c r="R3" s="12" t="s">
        <v>33</v>
      </c>
      <c r="S3" s="9" t="s">
        <v>237</v>
      </c>
      <c r="T3" s="11" t="s">
        <v>34</v>
      </c>
      <c r="U3" s="9" t="s">
        <v>271</v>
      </c>
      <c r="V3" s="9" t="s">
        <v>272</v>
      </c>
      <c r="W3" s="9" t="s">
        <v>47</v>
      </c>
      <c r="X3" s="10">
        <v>10</v>
      </c>
      <c r="Y3" s="9" t="s">
        <v>308</v>
      </c>
    </row>
    <row r="4" spans="1:25" x14ac:dyDescent="0.25">
      <c r="A4" s="9"/>
      <c r="B4" s="9" t="s">
        <v>54</v>
      </c>
      <c r="C4" s="9" t="s">
        <v>30</v>
      </c>
      <c r="D4" s="10">
        <v>10</v>
      </c>
      <c r="E4" s="9" t="s">
        <v>81</v>
      </c>
      <c r="F4" s="9" t="s">
        <v>111</v>
      </c>
      <c r="G4" s="11" t="s">
        <v>33</v>
      </c>
      <c r="H4" s="9" t="s">
        <v>112</v>
      </c>
      <c r="I4" s="9" t="s">
        <v>163</v>
      </c>
      <c r="J4" s="9" t="s">
        <v>164</v>
      </c>
      <c r="K4" s="10">
        <v>10</v>
      </c>
      <c r="L4" s="11" t="s">
        <v>33</v>
      </c>
      <c r="M4" s="9" t="s">
        <v>163</v>
      </c>
      <c r="N4" s="9" t="s">
        <v>164</v>
      </c>
      <c r="O4" s="10">
        <v>10</v>
      </c>
      <c r="P4" s="12" t="s">
        <v>33</v>
      </c>
      <c r="Q4" s="9" t="s">
        <v>238</v>
      </c>
      <c r="R4" s="12" t="s">
        <v>33</v>
      </c>
      <c r="S4" s="9" t="s">
        <v>239</v>
      </c>
      <c r="T4" s="11" t="s">
        <v>34</v>
      </c>
      <c r="U4" s="9" t="s">
        <v>34</v>
      </c>
      <c r="V4" s="9" t="s">
        <v>273</v>
      </c>
      <c r="W4" s="9" t="s">
        <v>309</v>
      </c>
      <c r="X4" s="10">
        <v>10</v>
      </c>
      <c r="Y4" s="9" t="s">
        <v>310</v>
      </c>
    </row>
    <row r="5" spans="1:25" x14ac:dyDescent="0.25">
      <c r="A5" s="9"/>
      <c r="B5" s="9" t="s">
        <v>53</v>
      </c>
      <c r="C5" s="9" t="s">
        <v>53</v>
      </c>
      <c r="D5" s="10">
        <v>10</v>
      </c>
      <c r="E5" s="9" t="s">
        <v>82</v>
      </c>
      <c r="F5" s="9" t="s">
        <v>113</v>
      </c>
      <c r="G5" s="11" t="s">
        <v>33</v>
      </c>
      <c r="H5" s="9" t="s">
        <v>114</v>
      </c>
      <c r="I5" s="9" t="s">
        <v>165</v>
      </c>
      <c r="J5" s="9" t="s">
        <v>36</v>
      </c>
      <c r="K5" s="10">
        <v>10</v>
      </c>
      <c r="L5" s="11" t="s">
        <v>33</v>
      </c>
      <c r="M5" s="9" t="s">
        <v>205</v>
      </c>
      <c r="N5" s="9" t="s">
        <v>36</v>
      </c>
      <c r="O5" s="10">
        <v>10</v>
      </c>
      <c r="P5" s="12" t="s">
        <v>33</v>
      </c>
      <c r="Q5" s="9" t="s">
        <v>36</v>
      </c>
      <c r="R5" s="12" t="s">
        <v>33</v>
      </c>
      <c r="S5" s="9" t="s">
        <v>36</v>
      </c>
      <c r="T5" s="11" t="s">
        <v>34</v>
      </c>
      <c r="U5" s="9" t="s">
        <v>36</v>
      </c>
      <c r="V5" s="9" t="s">
        <v>36</v>
      </c>
      <c r="W5" s="9" t="s">
        <v>46</v>
      </c>
      <c r="X5" s="10">
        <v>10</v>
      </c>
      <c r="Y5" s="9" t="s">
        <v>311</v>
      </c>
    </row>
    <row r="6" spans="1:25" x14ac:dyDescent="0.25">
      <c r="A6" s="9"/>
      <c r="B6" s="9" t="s">
        <v>55</v>
      </c>
      <c r="C6" s="9" t="s">
        <v>30</v>
      </c>
      <c r="D6" s="10">
        <v>10</v>
      </c>
      <c r="E6" s="9" t="s">
        <v>83</v>
      </c>
      <c r="F6" s="9" t="s">
        <v>115</v>
      </c>
      <c r="G6" s="11" t="s">
        <v>33</v>
      </c>
      <c r="H6" s="9" t="s">
        <v>116</v>
      </c>
      <c r="I6" s="9" t="s">
        <v>143</v>
      </c>
      <c r="J6" s="9" t="s">
        <v>143</v>
      </c>
      <c r="K6" s="10">
        <v>10</v>
      </c>
      <c r="L6" s="11" t="s">
        <v>33</v>
      </c>
      <c r="M6" s="9" t="s">
        <v>143</v>
      </c>
      <c r="N6" s="9" t="s">
        <v>143</v>
      </c>
      <c r="O6" s="10">
        <v>10</v>
      </c>
      <c r="P6" s="12" t="s">
        <v>33</v>
      </c>
      <c r="Q6" s="9" t="s">
        <v>143</v>
      </c>
      <c r="R6" s="12" t="s">
        <v>33</v>
      </c>
      <c r="S6" s="9" t="s">
        <v>240</v>
      </c>
      <c r="T6" s="11" t="s">
        <v>34</v>
      </c>
      <c r="U6" s="9" t="s">
        <v>274</v>
      </c>
      <c r="V6" s="9" t="s">
        <v>143</v>
      </c>
      <c r="W6" s="9" t="s">
        <v>47</v>
      </c>
      <c r="X6" s="10">
        <v>10</v>
      </c>
      <c r="Y6" s="9" t="s">
        <v>312</v>
      </c>
    </row>
    <row r="7" spans="1:25" x14ac:dyDescent="0.25">
      <c r="A7" s="9"/>
      <c r="B7" s="9" t="s">
        <v>56</v>
      </c>
      <c r="C7" s="9" t="s">
        <v>28</v>
      </c>
      <c r="D7" s="10">
        <v>10</v>
      </c>
      <c r="E7" s="9" t="s">
        <v>84</v>
      </c>
      <c r="F7" s="9" t="s">
        <v>117</v>
      </c>
      <c r="G7" s="11" t="s">
        <v>33</v>
      </c>
      <c r="H7" s="9" t="s">
        <v>118</v>
      </c>
      <c r="I7" s="9" t="s">
        <v>166</v>
      </c>
      <c r="J7" s="9" t="s">
        <v>167</v>
      </c>
      <c r="K7" s="10">
        <v>10</v>
      </c>
      <c r="L7" s="11" t="s">
        <v>33</v>
      </c>
      <c r="M7" s="9" t="s">
        <v>206</v>
      </c>
      <c r="N7" s="9" t="s">
        <v>207</v>
      </c>
      <c r="O7" s="10">
        <v>10</v>
      </c>
      <c r="P7" s="12" t="s">
        <v>33</v>
      </c>
      <c r="Q7" s="9" t="s">
        <v>241</v>
      </c>
      <c r="R7" s="12" t="s">
        <v>33</v>
      </c>
      <c r="S7" s="9" t="s">
        <v>242</v>
      </c>
      <c r="T7" s="11" t="s">
        <v>34</v>
      </c>
      <c r="U7" s="9" t="s">
        <v>275</v>
      </c>
      <c r="V7" s="9" t="s">
        <v>276</v>
      </c>
      <c r="W7" s="9" t="s">
        <v>46</v>
      </c>
      <c r="X7" s="10">
        <v>10</v>
      </c>
      <c r="Y7" s="9" t="s">
        <v>313</v>
      </c>
    </row>
    <row r="8" spans="1:25" x14ac:dyDescent="0.25">
      <c r="A8" s="9"/>
      <c r="B8" s="9" t="s">
        <v>57</v>
      </c>
      <c r="C8" s="9" t="s">
        <v>29</v>
      </c>
      <c r="D8" s="10">
        <v>10</v>
      </c>
      <c r="E8" s="9" t="s">
        <v>85</v>
      </c>
      <c r="F8" s="9" t="s">
        <v>119</v>
      </c>
      <c r="G8" s="11" t="s">
        <v>33</v>
      </c>
      <c r="H8" s="9" t="s">
        <v>120</v>
      </c>
      <c r="I8" s="9" t="s">
        <v>168</v>
      </c>
      <c r="J8" s="9" t="s">
        <v>169</v>
      </c>
      <c r="K8" s="10">
        <v>8</v>
      </c>
      <c r="L8" s="11" t="s">
        <v>33</v>
      </c>
      <c r="M8" s="9" t="s">
        <v>208</v>
      </c>
      <c r="N8" s="9" t="s">
        <v>40</v>
      </c>
      <c r="O8" s="10">
        <v>8</v>
      </c>
      <c r="P8" s="12" t="s">
        <v>33</v>
      </c>
      <c r="Q8" s="9" t="s">
        <v>243</v>
      </c>
      <c r="R8" s="12" t="s">
        <v>33</v>
      </c>
      <c r="S8" s="9" t="s">
        <v>244</v>
      </c>
      <c r="T8" s="11" t="s">
        <v>34</v>
      </c>
      <c r="U8" s="9" t="s">
        <v>277</v>
      </c>
      <c r="V8" s="9" t="s">
        <v>278</v>
      </c>
      <c r="W8" s="9" t="s">
        <v>47</v>
      </c>
      <c r="X8" s="10">
        <v>10</v>
      </c>
      <c r="Y8" s="9" t="s">
        <v>314</v>
      </c>
    </row>
    <row r="9" spans="1:25" x14ac:dyDescent="0.25">
      <c r="A9" s="9"/>
      <c r="B9" s="9" t="s">
        <v>58</v>
      </c>
      <c r="C9" s="9" t="s">
        <v>27</v>
      </c>
      <c r="D9" s="10">
        <v>9</v>
      </c>
      <c r="E9" s="9" t="s">
        <v>86</v>
      </c>
      <c r="F9" s="9" t="s">
        <v>121</v>
      </c>
      <c r="G9" s="11" t="s">
        <v>33</v>
      </c>
      <c r="H9" s="9" t="s">
        <v>53</v>
      </c>
      <c r="I9" s="9" t="s">
        <v>170</v>
      </c>
      <c r="J9" s="9" t="s">
        <v>171</v>
      </c>
      <c r="K9" s="10">
        <v>9</v>
      </c>
      <c r="L9" s="11" t="s">
        <v>33</v>
      </c>
      <c r="M9" s="9" t="s">
        <v>143</v>
      </c>
      <c r="N9" s="9" t="s">
        <v>143</v>
      </c>
      <c r="O9" s="10">
        <v>9</v>
      </c>
      <c r="P9" s="12" t="s">
        <v>33</v>
      </c>
      <c r="Q9" s="9" t="s">
        <v>143</v>
      </c>
      <c r="R9" s="12" t="s">
        <v>33</v>
      </c>
      <c r="S9" s="9" t="s">
        <v>53</v>
      </c>
      <c r="T9" s="11" t="s">
        <v>33</v>
      </c>
      <c r="U9" s="9" t="s">
        <v>279</v>
      </c>
      <c r="V9" s="9" t="s">
        <v>53</v>
      </c>
      <c r="W9" s="9" t="s">
        <v>47</v>
      </c>
      <c r="X9" s="10">
        <v>10</v>
      </c>
      <c r="Y9" s="9" t="s">
        <v>45</v>
      </c>
    </row>
    <row r="10" spans="1:25" x14ac:dyDescent="0.25">
      <c r="A10" s="9"/>
      <c r="B10" s="9" t="s">
        <v>59</v>
      </c>
      <c r="C10" s="9" t="s">
        <v>78</v>
      </c>
      <c r="D10" s="10">
        <v>10</v>
      </c>
      <c r="E10" s="9" t="s">
        <v>87</v>
      </c>
      <c r="F10" s="9" t="s">
        <v>122</v>
      </c>
      <c r="G10" s="11" t="s">
        <v>33</v>
      </c>
      <c r="H10" s="9" t="s">
        <v>123</v>
      </c>
      <c r="I10" s="9" t="s">
        <v>36</v>
      </c>
      <c r="J10" s="9" t="s">
        <v>36</v>
      </c>
      <c r="K10" s="10">
        <v>9</v>
      </c>
      <c r="L10" s="11" t="s">
        <v>33</v>
      </c>
      <c r="M10" s="9" t="s">
        <v>36</v>
      </c>
      <c r="N10" s="9" t="s">
        <v>209</v>
      </c>
      <c r="O10" s="10">
        <v>10</v>
      </c>
      <c r="P10" s="12" t="s">
        <v>33</v>
      </c>
      <c r="Q10" s="9" t="s">
        <v>245</v>
      </c>
      <c r="R10" s="12" t="s">
        <v>33</v>
      </c>
      <c r="S10" s="9" t="s">
        <v>246</v>
      </c>
      <c r="T10" s="11" t="s">
        <v>34</v>
      </c>
      <c r="U10" s="9" t="s">
        <v>36</v>
      </c>
      <c r="V10" s="9" t="s">
        <v>280</v>
      </c>
      <c r="W10" s="9" t="s">
        <v>47</v>
      </c>
      <c r="X10" s="10">
        <v>10</v>
      </c>
      <c r="Y10" s="9" t="s">
        <v>315</v>
      </c>
    </row>
    <row r="11" spans="1:25" x14ac:dyDescent="0.25">
      <c r="A11" s="9"/>
      <c r="B11" s="9" t="s">
        <v>60</v>
      </c>
      <c r="C11" s="9" t="s">
        <v>32</v>
      </c>
      <c r="D11" s="10">
        <v>10</v>
      </c>
      <c r="E11" s="9" t="s">
        <v>88</v>
      </c>
      <c r="F11" s="9" t="s">
        <v>124</v>
      </c>
      <c r="G11" s="11" t="s">
        <v>33</v>
      </c>
      <c r="H11" s="9" t="s">
        <v>125</v>
      </c>
      <c r="I11" s="9" t="s">
        <v>172</v>
      </c>
      <c r="J11" s="9" t="s">
        <v>173</v>
      </c>
      <c r="K11" s="10">
        <v>10</v>
      </c>
      <c r="L11" s="11" t="s">
        <v>33</v>
      </c>
      <c r="M11" s="9" t="s">
        <v>173</v>
      </c>
      <c r="N11" s="9" t="s">
        <v>210</v>
      </c>
      <c r="O11" s="10">
        <v>10</v>
      </c>
      <c r="P11" s="12" t="s">
        <v>33</v>
      </c>
      <c r="Q11" s="9" t="s">
        <v>173</v>
      </c>
      <c r="R11" s="12" t="s">
        <v>33</v>
      </c>
      <c r="S11" s="9" t="s">
        <v>173</v>
      </c>
      <c r="T11" s="11" t="s">
        <v>34</v>
      </c>
      <c r="U11" s="9" t="s">
        <v>173</v>
      </c>
      <c r="V11" s="9" t="s">
        <v>281</v>
      </c>
      <c r="W11" s="9" t="s">
        <v>309</v>
      </c>
      <c r="X11" s="10">
        <v>10</v>
      </c>
      <c r="Y11" s="9" t="s">
        <v>173</v>
      </c>
    </row>
    <row r="12" spans="1:25" x14ac:dyDescent="0.25">
      <c r="A12" s="9"/>
      <c r="B12" s="9" t="s">
        <v>61</v>
      </c>
      <c r="C12" s="9" t="s">
        <v>30</v>
      </c>
      <c r="D12" s="10">
        <v>10</v>
      </c>
      <c r="E12" s="9" t="s">
        <v>89</v>
      </c>
      <c r="F12" s="9" t="s">
        <v>126</v>
      </c>
      <c r="G12" s="11" t="s">
        <v>33</v>
      </c>
      <c r="H12" s="9" t="s">
        <v>127</v>
      </c>
      <c r="I12" s="9" t="s">
        <v>174</v>
      </c>
      <c r="J12" s="9" t="s">
        <v>175</v>
      </c>
      <c r="K12" s="10">
        <v>10</v>
      </c>
      <c r="L12" s="11" t="s">
        <v>33</v>
      </c>
      <c r="M12" s="9" t="s">
        <v>211</v>
      </c>
      <c r="N12" s="9" t="s">
        <v>45</v>
      </c>
      <c r="O12" s="10">
        <v>10</v>
      </c>
      <c r="P12" s="12" t="s">
        <v>33</v>
      </c>
      <c r="Q12" s="9" t="s">
        <v>247</v>
      </c>
      <c r="R12" s="12" t="s">
        <v>33</v>
      </c>
      <c r="S12" s="9" t="s">
        <v>248</v>
      </c>
      <c r="T12" s="11" t="s">
        <v>34</v>
      </c>
      <c r="U12" s="9" t="s">
        <v>282</v>
      </c>
      <c r="V12" s="9" t="s">
        <v>283</v>
      </c>
      <c r="W12" s="9" t="s">
        <v>47</v>
      </c>
      <c r="X12" s="10">
        <v>10</v>
      </c>
      <c r="Y12" s="9" t="s">
        <v>316</v>
      </c>
    </row>
    <row r="13" spans="1:25" x14ac:dyDescent="0.25">
      <c r="A13" s="9"/>
      <c r="B13" s="9" t="s">
        <v>62</v>
      </c>
      <c r="C13" s="9" t="s">
        <v>32</v>
      </c>
      <c r="D13" s="10">
        <v>10</v>
      </c>
      <c r="E13" s="9" t="s">
        <v>90</v>
      </c>
      <c r="F13" s="9" t="s">
        <v>128</v>
      </c>
      <c r="G13" s="11" t="s">
        <v>33</v>
      </c>
      <c r="H13" s="9" t="s">
        <v>129</v>
      </c>
      <c r="I13" s="9" t="s">
        <v>176</v>
      </c>
      <c r="J13" s="9" t="s">
        <v>177</v>
      </c>
      <c r="K13" s="10">
        <v>8</v>
      </c>
      <c r="L13" s="11" t="s">
        <v>34</v>
      </c>
      <c r="M13" s="9" t="s">
        <v>212</v>
      </c>
      <c r="N13" s="9" t="s">
        <v>213</v>
      </c>
      <c r="O13" s="10">
        <v>10</v>
      </c>
      <c r="P13" s="12" t="s">
        <v>33</v>
      </c>
      <c r="Q13" s="9" t="s">
        <v>249</v>
      </c>
      <c r="R13" s="12" t="s">
        <v>33</v>
      </c>
      <c r="S13" s="9" t="s">
        <v>250</v>
      </c>
      <c r="T13" s="11" t="s">
        <v>34</v>
      </c>
      <c r="U13" s="9" t="s">
        <v>275</v>
      </c>
      <c r="V13" s="9" t="s">
        <v>284</v>
      </c>
      <c r="W13" s="9" t="s">
        <v>309</v>
      </c>
      <c r="X13" s="10">
        <v>10</v>
      </c>
      <c r="Y13" s="9" t="s">
        <v>317</v>
      </c>
    </row>
    <row r="14" spans="1:25" x14ac:dyDescent="0.25">
      <c r="A14" s="9"/>
      <c r="B14" s="9" t="s">
        <v>63</v>
      </c>
      <c r="C14" s="9" t="s">
        <v>30</v>
      </c>
      <c r="D14" s="10">
        <v>8</v>
      </c>
      <c r="E14" s="9" t="s">
        <v>91</v>
      </c>
      <c r="F14" s="9" t="s">
        <v>130</v>
      </c>
      <c r="G14" s="11" t="s">
        <v>33</v>
      </c>
      <c r="H14" s="9" t="s">
        <v>131</v>
      </c>
      <c r="I14" s="9" t="s">
        <v>178</v>
      </c>
      <c r="J14" s="9" t="s">
        <v>179</v>
      </c>
      <c r="K14" s="10">
        <v>5</v>
      </c>
      <c r="L14" s="11" t="s">
        <v>33</v>
      </c>
      <c r="M14" s="9" t="s">
        <v>214</v>
      </c>
      <c r="N14" s="9" t="s">
        <v>215</v>
      </c>
      <c r="O14" s="10">
        <v>8</v>
      </c>
      <c r="P14" s="12" t="s">
        <v>33</v>
      </c>
      <c r="Q14" s="9" t="s">
        <v>50</v>
      </c>
      <c r="R14" s="12" t="s">
        <v>33</v>
      </c>
      <c r="S14" s="9" t="s">
        <v>33</v>
      </c>
      <c r="T14" s="11" t="s">
        <v>34</v>
      </c>
      <c r="U14" s="9" t="s">
        <v>285</v>
      </c>
      <c r="V14" s="9" t="s">
        <v>286</v>
      </c>
      <c r="W14" s="9" t="s">
        <v>47</v>
      </c>
      <c r="X14" s="10">
        <v>10</v>
      </c>
      <c r="Y14" s="9" t="s">
        <v>318</v>
      </c>
    </row>
    <row r="15" spans="1:25" x14ac:dyDescent="0.25">
      <c r="A15" s="9"/>
      <c r="B15" s="9" t="s">
        <v>64</v>
      </c>
      <c r="C15" s="9" t="s">
        <v>31</v>
      </c>
      <c r="D15" s="10">
        <v>10</v>
      </c>
      <c r="E15" s="9" t="s">
        <v>92</v>
      </c>
      <c r="F15" s="9" t="s">
        <v>102</v>
      </c>
      <c r="G15" s="11" t="s">
        <v>33</v>
      </c>
      <c r="H15" s="9" t="s">
        <v>132</v>
      </c>
      <c r="I15" s="9" t="s">
        <v>180</v>
      </c>
      <c r="J15" s="9" t="s">
        <v>181</v>
      </c>
      <c r="K15" s="10">
        <v>10</v>
      </c>
      <c r="L15" s="11" t="s">
        <v>34</v>
      </c>
      <c r="M15" s="9" t="s">
        <v>216</v>
      </c>
      <c r="N15" s="9" t="s">
        <v>217</v>
      </c>
      <c r="O15" s="10">
        <v>10</v>
      </c>
      <c r="P15" s="12" t="s">
        <v>33</v>
      </c>
      <c r="Q15" s="9" t="s">
        <v>251</v>
      </c>
      <c r="R15" s="12" t="s">
        <v>33</v>
      </c>
      <c r="S15" s="9" t="s">
        <v>252</v>
      </c>
      <c r="T15" s="11" t="s">
        <v>33</v>
      </c>
      <c r="U15" s="9" t="s">
        <v>287</v>
      </c>
      <c r="V15" s="9" t="s">
        <v>288</v>
      </c>
      <c r="W15" s="9" t="s">
        <v>46</v>
      </c>
      <c r="X15" s="10">
        <v>10</v>
      </c>
      <c r="Y15" s="9" t="s">
        <v>319</v>
      </c>
    </row>
    <row r="16" spans="1:25" x14ac:dyDescent="0.25">
      <c r="A16" s="9"/>
      <c r="B16" s="9" t="s">
        <v>48</v>
      </c>
      <c r="C16" s="9" t="s">
        <v>27</v>
      </c>
      <c r="D16" s="10">
        <v>7</v>
      </c>
      <c r="E16" s="9" t="s">
        <v>93</v>
      </c>
      <c r="F16" s="9" t="s">
        <v>133</v>
      </c>
      <c r="G16" s="11" t="s">
        <v>33</v>
      </c>
      <c r="H16" s="9" t="s">
        <v>134</v>
      </c>
      <c r="I16" s="9" t="s">
        <v>182</v>
      </c>
      <c r="J16" s="9" t="s">
        <v>183</v>
      </c>
      <c r="K16" s="10">
        <v>10</v>
      </c>
      <c r="L16" s="11" t="s">
        <v>33</v>
      </c>
      <c r="M16" s="9" t="s">
        <v>218</v>
      </c>
      <c r="N16" s="9" t="s">
        <v>219</v>
      </c>
      <c r="O16" s="10">
        <v>10</v>
      </c>
      <c r="P16" s="12" t="s">
        <v>33</v>
      </c>
      <c r="Q16" s="9" t="s">
        <v>253</v>
      </c>
      <c r="R16" s="12" t="s">
        <v>33</v>
      </c>
      <c r="S16" s="9" t="s">
        <v>254</v>
      </c>
      <c r="T16" s="11" t="s">
        <v>33</v>
      </c>
      <c r="U16" s="9" t="s">
        <v>289</v>
      </c>
      <c r="V16" s="9" t="s">
        <v>290</v>
      </c>
      <c r="W16" s="9" t="s">
        <v>309</v>
      </c>
      <c r="X16" s="10">
        <v>10</v>
      </c>
      <c r="Y16" s="9" t="s">
        <v>320</v>
      </c>
    </row>
    <row r="17" spans="1:25" x14ac:dyDescent="0.25">
      <c r="A17" s="9"/>
      <c r="B17" s="9" t="s">
        <v>65</v>
      </c>
      <c r="C17" s="9" t="s">
        <v>31</v>
      </c>
      <c r="D17" s="10">
        <v>10</v>
      </c>
      <c r="E17" s="9" t="s">
        <v>94</v>
      </c>
      <c r="F17" s="9" t="s">
        <v>135</v>
      </c>
      <c r="G17" s="11" t="s">
        <v>33</v>
      </c>
      <c r="H17" s="9" t="s">
        <v>136</v>
      </c>
      <c r="I17" s="9" t="s">
        <v>184</v>
      </c>
      <c r="J17" s="9" t="s">
        <v>185</v>
      </c>
      <c r="K17" s="10">
        <v>10</v>
      </c>
      <c r="L17" s="11" t="s">
        <v>33</v>
      </c>
      <c r="M17" s="9" t="s">
        <v>220</v>
      </c>
      <c r="N17" s="9" t="s">
        <v>221</v>
      </c>
      <c r="O17" s="10">
        <v>10</v>
      </c>
      <c r="P17" s="12" t="s">
        <v>33</v>
      </c>
      <c r="Q17" s="9" t="s">
        <v>255</v>
      </c>
      <c r="R17" s="12" t="s">
        <v>33</v>
      </c>
      <c r="S17" s="9" t="s">
        <v>256</v>
      </c>
      <c r="T17" s="11" t="s">
        <v>34</v>
      </c>
      <c r="U17" s="9" t="s">
        <v>291</v>
      </c>
      <c r="V17" s="9" t="s">
        <v>292</v>
      </c>
      <c r="W17" s="9" t="s">
        <v>47</v>
      </c>
      <c r="X17" s="10">
        <v>10</v>
      </c>
      <c r="Y17" s="9" t="s">
        <v>321</v>
      </c>
    </row>
    <row r="18" spans="1:25" x14ac:dyDescent="0.25">
      <c r="A18" s="9"/>
      <c r="B18" s="9" t="s">
        <v>62</v>
      </c>
      <c r="C18" s="9" t="s">
        <v>78</v>
      </c>
      <c r="D18" s="10">
        <v>8</v>
      </c>
      <c r="E18" s="9" t="s">
        <v>95</v>
      </c>
      <c r="F18" s="9" t="s">
        <v>137</v>
      </c>
      <c r="G18" s="11" t="s">
        <v>33</v>
      </c>
      <c r="H18" s="9" t="s">
        <v>138</v>
      </c>
      <c r="I18" s="9" t="s">
        <v>186</v>
      </c>
      <c r="J18" s="9" t="s">
        <v>187</v>
      </c>
      <c r="K18" s="10">
        <v>8</v>
      </c>
      <c r="L18" s="11" t="s">
        <v>33</v>
      </c>
      <c r="M18" s="9" t="s">
        <v>222</v>
      </c>
      <c r="N18" s="9" t="s">
        <v>39</v>
      </c>
      <c r="O18" s="10">
        <v>10</v>
      </c>
      <c r="P18" s="12" t="s">
        <v>33</v>
      </c>
      <c r="Q18" s="9" t="s">
        <v>257</v>
      </c>
      <c r="R18" s="12" t="s">
        <v>33</v>
      </c>
      <c r="S18" s="9" t="s">
        <v>258</v>
      </c>
      <c r="T18" s="11" t="s">
        <v>34</v>
      </c>
      <c r="U18" s="9" t="s">
        <v>293</v>
      </c>
      <c r="V18" s="9" t="s">
        <v>294</v>
      </c>
      <c r="W18" s="9" t="s">
        <v>47</v>
      </c>
      <c r="X18" s="10">
        <v>10</v>
      </c>
      <c r="Y18" s="9" t="s">
        <v>322</v>
      </c>
    </row>
    <row r="19" spans="1:25" x14ac:dyDescent="0.25">
      <c r="A19" s="9"/>
      <c r="B19" s="9" t="s">
        <v>66</v>
      </c>
      <c r="C19" s="9" t="s">
        <v>78</v>
      </c>
      <c r="D19" s="10">
        <v>10</v>
      </c>
      <c r="E19" s="9" t="s">
        <v>36</v>
      </c>
      <c r="F19" s="9" t="s">
        <v>36</v>
      </c>
      <c r="G19" s="11" t="s">
        <v>33</v>
      </c>
      <c r="H19" s="9" t="s">
        <v>36</v>
      </c>
      <c r="I19" s="9" t="s">
        <v>36</v>
      </c>
      <c r="J19" s="9" t="s">
        <v>36</v>
      </c>
      <c r="K19" s="10">
        <v>10</v>
      </c>
      <c r="L19" s="11" t="s">
        <v>33</v>
      </c>
      <c r="M19" s="9" t="s">
        <v>36</v>
      </c>
      <c r="N19" s="9" t="s">
        <v>223</v>
      </c>
      <c r="O19" s="10">
        <v>10</v>
      </c>
      <c r="P19" s="12" t="s">
        <v>33</v>
      </c>
      <c r="Q19" s="9" t="s">
        <v>36</v>
      </c>
      <c r="R19" s="12" t="s">
        <v>33</v>
      </c>
      <c r="S19" s="9" t="s">
        <v>36</v>
      </c>
      <c r="T19" s="11" t="s">
        <v>34</v>
      </c>
      <c r="U19" s="9" t="s">
        <v>36</v>
      </c>
      <c r="V19" s="9" t="s">
        <v>295</v>
      </c>
      <c r="W19" s="9" t="s">
        <v>47</v>
      </c>
      <c r="X19" s="10">
        <v>10</v>
      </c>
      <c r="Y19" s="9" t="s">
        <v>36</v>
      </c>
    </row>
    <row r="20" spans="1:25" x14ac:dyDescent="0.25">
      <c r="A20" s="9"/>
      <c r="B20" s="9" t="s">
        <v>67</v>
      </c>
      <c r="C20" s="9" t="s">
        <v>28</v>
      </c>
      <c r="D20" s="10">
        <v>10</v>
      </c>
      <c r="E20" s="9" t="s">
        <v>96</v>
      </c>
      <c r="F20" s="9" t="s">
        <v>139</v>
      </c>
      <c r="G20" s="11" t="s">
        <v>33</v>
      </c>
      <c r="H20" s="9" t="s">
        <v>140</v>
      </c>
      <c r="I20" s="9" t="s">
        <v>188</v>
      </c>
      <c r="J20" s="9" t="s">
        <v>188</v>
      </c>
      <c r="K20" s="10">
        <v>10</v>
      </c>
      <c r="L20" s="11" t="s">
        <v>33</v>
      </c>
      <c r="M20" s="9" t="s">
        <v>188</v>
      </c>
      <c r="N20" s="9" t="s">
        <v>224</v>
      </c>
      <c r="O20" s="10">
        <v>10</v>
      </c>
      <c r="P20" s="12" t="s">
        <v>33</v>
      </c>
      <c r="Q20" s="9" t="s">
        <v>188</v>
      </c>
      <c r="R20" s="12" t="s">
        <v>33</v>
      </c>
      <c r="S20" s="9" t="s">
        <v>188</v>
      </c>
      <c r="T20" s="11" t="s">
        <v>34</v>
      </c>
      <c r="U20" s="9" t="s">
        <v>296</v>
      </c>
      <c r="V20" s="9" t="s">
        <v>297</v>
      </c>
      <c r="W20" s="9" t="s">
        <v>309</v>
      </c>
      <c r="X20" s="10">
        <v>10</v>
      </c>
      <c r="Y20" s="9" t="s">
        <v>323</v>
      </c>
    </row>
    <row r="21" spans="1:25" x14ac:dyDescent="0.25">
      <c r="A21" s="9"/>
      <c r="B21" s="9" t="s">
        <v>68</v>
      </c>
      <c r="C21" s="9" t="s">
        <v>32</v>
      </c>
      <c r="D21" s="10">
        <v>10</v>
      </c>
      <c r="E21" s="9" t="s">
        <v>97</v>
      </c>
      <c r="F21" s="9" t="s">
        <v>102</v>
      </c>
      <c r="G21" s="11" t="s">
        <v>33</v>
      </c>
      <c r="H21" s="9" t="s">
        <v>141</v>
      </c>
      <c r="I21" s="9" t="s">
        <v>49</v>
      </c>
      <c r="J21" s="9" t="s">
        <v>189</v>
      </c>
      <c r="K21" s="10">
        <v>10</v>
      </c>
      <c r="L21" s="11" t="s">
        <v>33</v>
      </c>
      <c r="M21" s="9" t="s">
        <v>189</v>
      </c>
      <c r="N21" s="9" t="s">
        <v>38</v>
      </c>
      <c r="O21" s="10">
        <v>10</v>
      </c>
      <c r="P21" s="12" t="s">
        <v>33</v>
      </c>
      <c r="Q21" s="9" t="s">
        <v>50</v>
      </c>
      <c r="R21" s="12" t="s">
        <v>33</v>
      </c>
      <c r="S21" s="9" t="s">
        <v>51</v>
      </c>
      <c r="T21" s="11" t="s">
        <v>34</v>
      </c>
      <c r="U21" s="9" t="s">
        <v>34</v>
      </c>
      <c r="V21" s="9" t="s">
        <v>298</v>
      </c>
      <c r="W21" s="9" t="s">
        <v>47</v>
      </c>
      <c r="X21" s="10">
        <v>10</v>
      </c>
      <c r="Y21" s="9" t="s">
        <v>324</v>
      </c>
    </row>
    <row r="22" spans="1:25" x14ac:dyDescent="0.25">
      <c r="A22" s="9"/>
      <c r="B22" s="9" t="s">
        <v>62</v>
      </c>
      <c r="C22" s="9" t="s">
        <v>29</v>
      </c>
      <c r="D22" s="10">
        <v>6</v>
      </c>
      <c r="E22" s="9" t="s">
        <v>98</v>
      </c>
      <c r="F22" s="9" t="s">
        <v>142</v>
      </c>
      <c r="G22" s="11" t="s">
        <v>33</v>
      </c>
      <c r="H22" s="9" t="s">
        <v>143</v>
      </c>
      <c r="I22" s="9" t="s">
        <v>190</v>
      </c>
      <c r="J22" s="9" t="s">
        <v>191</v>
      </c>
      <c r="K22" s="10">
        <v>6</v>
      </c>
      <c r="L22" s="11" t="s">
        <v>33</v>
      </c>
      <c r="M22" s="9" t="s">
        <v>225</v>
      </c>
      <c r="N22" s="9" t="s">
        <v>226</v>
      </c>
      <c r="O22" s="10">
        <v>10</v>
      </c>
      <c r="P22" s="12" t="s">
        <v>33</v>
      </c>
      <c r="Q22" s="9" t="s">
        <v>143</v>
      </c>
      <c r="R22" s="12" t="s">
        <v>33</v>
      </c>
      <c r="S22" s="9" t="s">
        <v>259</v>
      </c>
      <c r="T22" s="11" t="s">
        <v>34</v>
      </c>
      <c r="U22" s="9" t="s">
        <v>299</v>
      </c>
      <c r="V22" s="9" t="s">
        <v>300</v>
      </c>
      <c r="W22" s="9" t="s">
        <v>47</v>
      </c>
      <c r="X22" s="10">
        <v>10</v>
      </c>
      <c r="Y22" s="9" t="s">
        <v>325</v>
      </c>
    </row>
    <row r="23" spans="1:25" x14ac:dyDescent="0.25">
      <c r="A23" s="9"/>
      <c r="B23" s="9" t="s">
        <v>69</v>
      </c>
      <c r="C23" s="9" t="s">
        <v>30</v>
      </c>
      <c r="D23" s="10">
        <v>10</v>
      </c>
      <c r="E23" s="9" t="s">
        <v>99</v>
      </c>
      <c r="F23" s="9" t="s">
        <v>144</v>
      </c>
      <c r="G23" s="11" t="s">
        <v>33</v>
      </c>
      <c r="H23" s="9" t="s">
        <v>145</v>
      </c>
      <c r="I23" s="9" t="s">
        <v>34</v>
      </c>
      <c r="J23" s="9" t="s">
        <v>192</v>
      </c>
      <c r="K23" s="10">
        <v>10</v>
      </c>
      <c r="L23" s="11" t="s">
        <v>33</v>
      </c>
      <c r="M23" s="9" t="s">
        <v>34</v>
      </c>
      <c r="N23" s="9" t="s">
        <v>38</v>
      </c>
      <c r="O23" s="10">
        <v>10</v>
      </c>
      <c r="P23" s="12" t="s">
        <v>33</v>
      </c>
      <c r="Q23" s="9" t="s">
        <v>50</v>
      </c>
      <c r="R23" s="12" t="s">
        <v>33</v>
      </c>
      <c r="S23" s="9" t="s">
        <v>260</v>
      </c>
      <c r="T23" s="11" t="s">
        <v>34</v>
      </c>
      <c r="U23" s="9" t="s">
        <v>275</v>
      </c>
      <c r="V23" s="9" t="s">
        <v>38</v>
      </c>
      <c r="W23" s="9" t="s">
        <v>47</v>
      </c>
      <c r="X23" s="10">
        <v>10</v>
      </c>
      <c r="Y23" s="9" t="s">
        <v>326</v>
      </c>
    </row>
    <row r="24" spans="1:25" x14ac:dyDescent="0.25">
      <c r="A24" s="9"/>
      <c r="B24" s="9" t="s">
        <v>57</v>
      </c>
      <c r="C24" s="9" t="s">
        <v>27</v>
      </c>
      <c r="D24" s="10">
        <v>10</v>
      </c>
      <c r="E24" s="9" t="s">
        <v>100</v>
      </c>
      <c r="F24" s="9" t="s">
        <v>146</v>
      </c>
      <c r="G24" s="11" t="s">
        <v>33</v>
      </c>
      <c r="H24" s="9" t="s">
        <v>147</v>
      </c>
      <c r="I24" s="9" t="s">
        <v>37</v>
      </c>
      <c r="J24" s="9" t="s">
        <v>147</v>
      </c>
      <c r="K24" s="10">
        <v>10</v>
      </c>
      <c r="L24" s="11" t="s">
        <v>33</v>
      </c>
      <c r="M24" s="9" t="s">
        <v>147</v>
      </c>
      <c r="N24" s="9" t="s">
        <v>227</v>
      </c>
      <c r="O24" s="10">
        <v>10</v>
      </c>
      <c r="P24" s="12" t="s">
        <v>33</v>
      </c>
      <c r="Q24" s="9" t="s">
        <v>147</v>
      </c>
      <c r="R24" s="12" t="s">
        <v>33</v>
      </c>
      <c r="S24" s="9" t="s">
        <v>147</v>
      </c>
      <c r="T24" s="11" t="s">
        <v>34</v>
      </c>
      <c r="U24" s="9" t="s">
        <v>34</v>
      </c>
      <c r="V24" s="9" t="s">
        <v>147</v>
      </c>
      <c r="W24" s="9" t="s">
        <v>47</v>
      </c>
      <c r="X24" s="10">
        <v>10</v>
      </c>
      <c r="Y24" s="9" t="s">
        <v>327</v>
      </c>
    </row>
    <row r="25" spans="1:25" x14ac:dyDescent="0.25">
      <c r="A25" s="9"/>
      <c r="B25" s="9" t="s">
        <v>70</v>
      </c>
      <c r="C25" s="9" t="s">
        <v>30</v>
      </c>
      <c r="D25" s="10">
        <v>10</v>
      </c>
      <c r="E25" s="9" t="s">
        <v>101</v>
      </c>
      <c r="F25" s="9" t="s">
        <v>101</v>
      </c>
      <c r="G25" s="11" t="s">
        <v>33</v>
      </c>
      <c r="H25" s="9" t="s">
        <v>101</v>
      </c>
      <c r="I25" s="9" t="s">
        <v>101</v>
      </c>
      <c r="J25" s="9" t="s">
        <v>101</v>
      </c>
      <c r="K25" s="10">
        <v>10</v>
      </c>
      <c r="L25" s="11" t="s">
        <v>33</v>
      </c>
      <c r="M25" s="9" t="s">
        <v>101</v>
      </c>
      <c r="N25" s="9" t="s">
        <v>101</v>
      </c>
      <c r="O25" s="10">
        <v>10</v>
      </c>
      <c r="P25" s="12" t="s">
        <v>33</v>
      </c>
      <c r="Q25" s="9" t="s">
        <v>101</v>
      </c>
      <c r="R25" s="12" t="s">
        <v>33</v>
      </c>
      <c r="S25" s="9" t="s">
        <v>101</v>
      </c>
      <c r="T25" s="11" t="s">
        <v>33</v>
      </c>
      <c r="U25" s="9" t="s">
        <v>101</v>
      </c>
      <c r="V25" s="9" t="s">
        <v>101</v>
      </c>
      <c r="W25" s="9" t="s">
        <v>309</v>
      </c>
      <c r="X25" s="10">
        <v>10</v>
      </c>
      <c r="Y25" s="9" t="s">
        <v>101</v>
      </c>
    </row>
    <row r="26" spans="1:25" x14ac:dyDescent="0.25">
      <c r="A26" s="9"/>
      <c r="B26" s="9" t="s">
        <v>71</v>
      </c>
      <c r="C26" s="9" t="s">
        <v>28</v>
      </c>
      <c r="D26" s="10">
        <v>10</v>
      </c>
      <c r="E26" s="9" t="s">
        <v>102</v>
      </c>
      <c r="F26" s="9" t="s">
        <v>148</v>
      </c>
      <c r="G26" s="11" t="s">
        <v>33</v>
      </c>
      <c r="H26" s="9" t="s">
        <v>149</v>
      </c>
      <c r="I26" s="9" t="s">
        <v>193</v>
      </c>
      <c r="J26" s="9" t="s">
        <v>194</v>
      </c>
      <c r="K26" s="10">
        <v>10</v>
      </c>
      <c r="L26" s="11" t="s">
        <v>33</v>
      </c>
      <c r="M26" s="9" t="s">
        <v>194</v>
      </c>
      <c r="N26" s="9" t="s">
        <v>228</v>
      </c>
      <c r="O26" s="10">
        <v>10</v>
      </c>
      <c r="P26" s="12" t="s">
        <v>33</v>
      </c>
      <c r="Q26" s="9" t="s">
        <v>261</v>
      </c>
      <c r="R26" s="12" t="s">
        <v>33</v>
      </c>
      <c r="S26" s="9" t="s">
        <v>262</v>
      </c>
      <c r="T26" s="11" t="s">
        <v>34</v>
      </c>
      <c r="U26" s="9" t="s">
        <v>301</v>
      </c>
      <c r="V26" s="9" t="s">
        <v>194</v>
      </c>
      <c r="W26" s="9" t="s">
        <v>47</v>
      </c>
      <c r="X26" s="10">
        <v>10</v>
      </c>
      <c r="Y26" s="9" t="s">
        <v>328</v>
      </c>
    </row>
    <row r="27" spans="1:25" x14ac:dyDescent="0.25">
      <c r="A27" s="9"/>
      <c r="B27" s="9" t="s">
        <v>72</v>
      </c>
      <c r="C27" s="9" t="s">
        <v>30</v>
      </c>
      <c r="D27" s="10">
        <v>10</v>
      </c>
      <c r="E27" s="9" t="s">
        <v>103</v>
      </c>
      <c r="F27" s="9" t="s">
        <v>150</v>
      </c>
      <c r="G27" s="11" t="s">
        <v>33</v>
      </c>
      <c r="H27" s="9" t="s">
        <v>151</v>
      </c>
      <c r="I27" s="9" t="s">
        <v>195</v>
      </c>
      <c r="J27" s="9" t="s">
        <v>196</v>
      </c>
      <c r="K27" s="10">
        <v>10</v>
      </c>
      <c r="L27" s="11" t="s">
        <v>33</v>
      </c>
      <c r="M27" s="9" t="s">
        <v>229</v>
      </c>
      <c r="N27" s="9" t="s">
        <v>230</v>
      </c>
      <c r="O27" s="10">
        <v>10</v>
      </c>
      <c r="P27" s="12" t="s">
        <v>33</v>
      </c>
      <c r="Q27" s="9" t="s">
        <v>263</v>
      </c>
      <c r="R27" s="12" t="s">
        <v>33</v>
      </c>
      <c r="S27" s="9" t="s">
        <v>264</v>
      </c>
      <c r="T27" s="11" t="s">
        <v>34</v>
      </c>
      <c r="U27" s="9" t="s">
        <v>302</v>
      </c>
      <c r="V27" s="9" t="s">
        <v>230</v>
      </c>
      <c r="W27" s="9" t="s">
        <v>47</v>
      </c>
      <c r="X27" s="10">
        <v>10</v>
      </c>
      <c r="Y27" s="9" t="s">
        <v>329</v>
      </c>
    </row>
    <row r="28" spans="1:25" x14ac:dyDescent="0.25">
      <c r="A28" s="9"/>
      <c r="B28" s="9" t="s">
        <v>73</v>
      </c>
      <c r="C28" s="9" t="s">
        <v>32</v>
      </c>
      <c r="D28" s="10">
        <v>10</v>
      </c>
      <c r="E28" s="9" t="s">
        <v>36</v>
      </c>
      <c r="F28" s="9" t="s">
        <v>36</v>
      </c>
      <c r="G28" s="11" t="s">
        <v>33</v>
      </c>
      <c r="H28" s="9" t="s">
        <v>36</v>
      </c>
      <c r="I28" s="9" t="s">
        <v>36</v>
      </c>
      <c r="J28" s="9" t="s">
        <v>36</v>
      </c>
      <c r="K28" s="10">
        <v>10</v>
      </c>
      <c r="L28" s="11" t="s">
        <v>33</v>
      </c>
      <c r="M28" s="9" t="s">
        <v>36</v>
      </c>
      <c r="N28" s="9" t="s">
        <v>36</v>
      </c>
      <c r="O28" s="10">
        <v>10</v>
      </c>
      <c r="P28" s="12" t="s">
        <v>33</v>
      </c>
      <c r="Q28" s="9" t="s">
        <v>36</v>
      </c>
      <c r="R28" s="12" t="s">
        <v>33</v>
      </c>
      <c r="S28" s="9" t="s">
        <v>36</v>
      </c>
      <c r="T28" s="11" t="s">
        <v>33</v>
      </c>
      <c r="U28" s="9" t="s">
        <v>36</v>
      </c>
      <c r="V28" s="9" t="s">
        <v>36</v>
      </c>
      <c r="W28" s="9" t="s">
        <v>47</v>
      </c>
      <c r="X28" s="10">
        <v>10</v>
      </c>
      <c r="Y28" s="9" t="s">
        <v>36</v>
      </c>
    </row>
    <row r="29" spans="1:25" x14ac:dyDescent="0.25">
      <c r="A29" s="9"/>
      <c r="B29" s="9" t="s">
        <v>74</v>
      </c>
      <c r="C29" s="9" t="s">
        <v>78</v>
      </c>
      <c r="D29" s="10">
        <v>10</v>
      </c>
      <c r="E29" s="9" t="s">
        <v>104</v>
      </c>
      <c r="F29" s="9" t="s">
        <v>152</v>
      </c>
      <c r="G29" s="11" t="s">
        <v>33</v>
      </c>
      <c r="H29" s="9" t="s">
        <v>153</v>
      </c>
      <c r="I29" s="9" t="s">
        <v>197</v>
      </c>
      <c r="J29" s="9" t="s">
        <v>198</v>
      </c>
      <c r="K29" s="10">
        <v>10</v>
      </c>
      <c r="L29" s="11" t="s">
        <v>33</v>
      </c>
      <c r="M29" s="9" t="s">
        <v>231</v>
      </c>
      <c r="N29" s="9" t="s">
        <v>231</v>
      </c>
      <c r="O29" s="10">
        <v>10</v>
      </c>
      <c r="P29" s="12" t="s">
        <v>33</v>
      </c>
      <c r="Q29" s="9" t="s">
        <v>265</v>
      </c>
      <c r="R29" s="12" t="s">
        <v>33</v>
      </c>
      <c r="S29" s="9" t="s">
        <v>266</v>
      </c>
      <c r="T29" s="11" t="s">
        <v>34</v>
      </c>
      <c r="U29" s="9" t="s">
        <v>303</v>
      </c>
      <c r="V29" s="9" t="s">
        <v>304</v>
      </c>
      <c r="W29" s="9" t="s">
        <v>47</v>
      </c>
      <c r="X29" s="10">
        <v>10</v>
      </c>
      <c r="Y29" s="9" t="s">
        <v>330</v>
      </c>
    </row>
    <row r="30" spans="1:25" x14ac:dyDescent="0.25">
      <c r="A30" s="9"/>
      <c r="B30" s="9" t="s">
        <v>75</v>
      </c>
      <c r="C30" s="9" t="s">
        <v>32</v>
      </c>
      <c r="D30" s="10">
        <v>10</v>
      </c>
      <c r="E30" s="9" t="s">
        <v>105</v>
      </c>
      <c r="F30" s="9" t="s">
        <v>154</v>
      </c>
      <c r="G30" s="11" t="s">
        <v>33</v>
      </c>
      <c r="H30" s="9" t="s">
        <v>155</v>
      </c>
      <c r="I30" s="9" t="s">
        <v>180</v>
      </c>
      <c r="J30" s="9" t="s">
        <v>199</v>
      </c>
      <c r="K30" s="10">
        <v>10</v>
      </c>
      <c r="L30" s="11" t="s">
        <v>33</v>
      </c>
      <c r="M30" s="9" t="s">
        <v>232</v>
      </c>
      <c r="N30" s="9" t="s">
        <v>40</v>
      </c>
      <c r="O30" s="10">
        <v>10</v>
      </c>
      <c r="P30" s="12" t="s">
        <v>33</v>
      </c>
      <c r="Q30" s="9" t="s">
        <v>267</v>
      </c>
      <c r="R30" s="12" t="s">
        <v>33</v>
      </c>
      <c r="S30" s="9" t="s">
        <v>268</v>
      </c>
      <c r="T30" s="11" t="s">
        <v>34</v>
      </c>
      <c r="U30" s="9" t="s">
        <v>305</v>
      </c>
      <c r="V30" s="9" t="s">
        <v>306</v>
      </c>
      <c r="W30" s="9" t="s">
        <v>47</v>
      </c>
      <c r="X30" s="10">
        <v>10</v>
      </c>
      <c r="Y30" s="9" t="s">
        <v>331</v>
      </c>
    </row>
    <row r="31" spans="1:25" x14ac:dyDescent="0.25">
      <c r="A31" s="9"/>
      <c r="B31" s="9" t="s">
        <v>53</v>
      </c>
      <c r="C31" s="9" t="s">
        <v>53</v>
      </c>
      <c r="D31" s="10">
        <v>10</v>
      </c>
      <c r="E31" s="9" t="s">
        <v>106</v>
      </c>
      <c r="F31" s="9" t="s">
        <v>156</v>
      </c>
      <c r="G31" s="11" t="s">
        <v>33</v>
      </c>
      <c r="H31" s="9" t="s">
        <v>33</v>
      </c>
      <c r="I31" s="9" t="s">
        <v>33</v>
      </c>
      <c r="J31" s="9" t="s">
        <v>33</v>
      </c>
      <c r="K31" s="10">
        <v>10</v>
      </c>
      <c r="L31" s="11" t="s">
        <v>33</v>
      </c>
      <c r="M31" s="9" t="s">
        <v>33</v>
      </c>
      <c r="N31" s="9" t="s">
        <v>33</v>
      </c>
      <c r="O31" s="10">
        <v>10</v>
      </c>
      <c r="P31" s="12" t="s">
        <v>33</v>
      </c>
      <c r="Q31" s="9" t="s">
        <v>33</v>
      </c>
      <c r="R31" s="12" t="s">
        <v>33</v>
      </c>
      <c r="S31" s="9" t="s">
        <v>33</v>
      </c>
      <c r="T31" s="11" t="s">
        <v>34</v>
      </c>
      <c r="U31" s="9" t="s">
        <v>33</v>
      </c>
      <c r="V31" s="9" t="s">
        <v>33</v>
      </c>
      <c r="W31" s="9" t="s">
        <v>47</v>
      </c>
      <c r="X31" s="10">
        <v>10</v>
      </c>
      <c r="Y31" s="9" t="s">
        <v>33</v>
      </c>
    </row>
    <row r="32" spans="1:25" x14ac:dyDescent="0.25">
      <c r="A32" s="9"/>
      <c r="B32" s="9" t="s">
        <v>76</v>
      </c>
      <c r="C32" s="9" t="s">
        <v>30</v>
      </c>
      <c r="D32" s="10">
        <v>10</v>
      </c>
      <c r="E32" s="9" t="s">
        <v>34</v>
      </c>
      <c r="F32" s="9" t="s">
        <v>34</v>
      </c>
      <c r="G32" s="11" t="s">
        <v>33</v>
      </c>
      <c r="H32" s="9" t="s">
        <v>34</v>
      </c>
      <c r="I32" s="9" t="s">
        <v>34</v>
      </c>
      <c r="J32" s="9" t="s">
        <v>34</v>
      </c>
      <c r="K32" s="10">
        <v>10</v>
      </c>
      <c r="L32" s="11" t="s">
        <v>33</v>
      </c>
      <c r="M32" s="9" t="s">
        <v>34</v>
      </c>
      <c r="N32" s="9" t="s">
        <v>34</v>
      </c>
      <c r="O32" s="10">
        <v>10</v>
      </c>
      <c r="P32" s="12" t="s">
        <v>33</v>
      </c>
      <c r="Q32" s="9" t="s">
        <v>34</v>
      </c>
      <c r="R32" s="12" t="s">
        <v>33</v>
      </c>
      <c r="S32" s="9" t="s">
        <v>34</v>
      </c>
      <c r="T32" s="11" t="s">
        <v>33</v>
      </c>
      <c r="U32" s="9" t="s">
        <v>34</v>
      </c>
      <c r="V32" s="9" t="s">
        <v>34</v>
      </c>
      <c r="W32" s="9" t="s">
        <v>46</v>
      </c>
      <c r="X32" s="10">
        <v>10</v>
      </c>
      <c r="Y32" s="9" t="s">
        <v>34</v>
      </c>
    </row>
    <row r="33" spans="1:25" x14ac:dyDescent="0.25">
      <c r="A33" s="9"/>
      <c r="B33" s="9" t="s">
        <v>77</v>
      </c>
      <c r="C33" s="9" t="s">
        <v>32</v>
      </c>
      <c r="D33" s="10">
        <v>10</v>
      </c>
      <c r="E33" s="9" t="s">
        <v>107</v>
      </c>
      <c r="F33" s="9" t="s">
        <v>157</v>
      </c>
      <c r="G33" s="11" t="s">
        <v>33</v>
      </c>
      <c r="H33" s="9" t="s">
        <v>158</v>
      </c>
      <c r="I33" s="9" t="s">
        <v>36</v>
      </c>
      <c r="J33" s="9" t="s">
        <v>200</v>
      </c>
      <c r="K33" s="10">
        <v>10</v>
      </c>
      <c r="L33" s="11" t="s">
        <v>33</v>
      </c>
      <c r="M33" s="9" t="s">
        <v>233</v>
      </c>
      <c r="N33" s="9" t="s">
        <v>36</v>
      </c>
      <c r="O33" s="10">
        <v>10</v>
      </c>
      <c r="P33" s="12" t="s">
        <v>33</v>
      </c>
      <c r="Q33" s="9" t="s">
        <v>36</v>
      </c>
      <c r="R33" s="12" t="s">
        <v>33</v>
      </c>
      <c r="S33" s="9" t="s">
        <v>36</v>
      </c>
      <c r="T33" s="11" t="s">
        <v>34</v>
      </c>
      <c r="U33" s="9" t="s">
        <v>36</v>
      </c>
      <c r="V33" s="9" t="s">
        <v>36</v>
      </c>
      <c r="W33" s="9" t="s">
        <v>47</v>
      </c>
      <c r="X33" s="10">
        <v>10</v>
      </c>
      <c r="Y33" s="9" t="s">
        <v>36</v>
      </c>
    </row>
    <row r="34" spans="1:25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T37" s="8"/>
      <c r="U37" s="8"/>
      <c r="V37" s="8"/>
      <c r="W37" s="8"/>
      <c r="X37" s="8"/>
      <c r="Y37" s="8"/>
    </row>
  </sheetData>
  <autoFilter ref="A1:Y3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G20" sqref="G20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5" t="s">
        <v>6</v>
      </c>
      <c r="C2" s="15"/>
      <c r="D2" s="15"/>
      <c r="E2" s="15"/>
      <c r="F2" s="15"/>
      <c r="G2" s="15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13">
        <f>AVERAGE('Исходные данные (итог. анкета)'!D:D)</f>
        <v>9.53125</v>
      </c>
      <c r="C4" s="13">
        <f>AVERAGE('Исходные данные (итог. анкета)'!K2:K37)</f>
        <v>9.40625</v>
      </c>
      <c r="D4" s="13">
        <f>AVERAGE('Исходные данные (итог. анкета)'!O2:O37)</f>
        <v>9.75</v>
      </c>
      <c r="E4" s="6">
        <f>COUNTIF('Исходные данные (итог. анкета)'!T2:T37,"нет")/COUNTA('Исходные данные (итог. анкета)'!T2:T499)</f>
        <v>0.8125</v>
      </c>
      <c r="F4" s="13">
        <f>AVERAGE('Исходные данные (итог. анкета)'!X2:X37)</f>
        <v>10</v>
      </c>
      <c r="G4" s="13">
        <f>AVERAGE(B4:D4,F4)</f>
        <v>9.671875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2026-07-01T09:04:11Z</dcterms:modified>
</cp:coreProperties>
</file>