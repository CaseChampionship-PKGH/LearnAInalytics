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B4" i="2"/>
  <c r="E4" i="2"/>
  <c r="F4" i="2"/>
  <c r="G4" i="2" l="1"/>
</calcChain>
</file>

<file path=xl/sharedStrings.xml><?xml version="1.0" encoding="utf-8"?>
<sst xmlns="http://schemas.openxmlformats.org/spreadsheetml/2006/main" count="517" uniqueCount="233">
  <si>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</si>
  <si>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</si>
  <si>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</si>
  <si>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</si>
  <si>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</si>
  <si>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</si>
  <si>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</si>
  <si>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</si>
  <si>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</si>
  <si>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</si>
  <si>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</si>
  <si>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</si>
  <si>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</si>
  <si>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</si>
  <si>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</si>
  <si>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</si>
  <si>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</si>
  <si>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</si>
  <si>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</si>
  <si>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</si>
  <si>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</si>
  <si>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</si>
  <si>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</si>
  <si>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</si>
  <si>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</si>
  <si>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</si>
  <si>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</si>
  <si>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/>
  </si>
  <si>
    <t>Ведущий специалист-государственный жилищный инспектор Санкт-Петербурга</t>
  </si>
  <si>
    <t>специалист 1-й категории</t>
  </si>
  <si>
    <t>Главный специалист</t>
  </si>
  <si>
    <t>начальник отдела</t>
  </si>
  <si>
    <t>ведущий специалист</t>
  </si>
  <si>
    <t>Ведущий специалист</t>
  </si>
  <si>
    <t>ведущий специалист - юрисконсульт</t>
  </si>
  <si>
    <t>Главный специалист - юрисконсульт</t>
  </si>
  <si>
    <t>главный специалист</t>
  </si>
  <si>
    <t>Начальник Отдела-государственный жилищный инспектор Санкт-Петербурга</t>
  </si>
  <si>
    <t>начальник сектора</t>
  </si>
  <si>
    <t>Специалист 1-й категории</t>
  </si>
  <si>
    <t>вопросы связанные с подачей декларации</t>
  </si>
  <si>
    <t>Все темы были актуальны</t>
  </si>
  <si>
    <t>Конфликт интересов</t>
  </si>
  <si>
    <t>Все вопросы</t>
  </si>
  <si>
    <t>Про конфликт интересов</t>
  </si>
  <si>
    <t>Конфликты интересов.</t>
  </si>
  <si>
    <t>Сведения о доходах и расходах, для более точной отчётности. Конфликт интересов, для того, чтобы избежать в будущем.</t>
  </si>
  <si>
    <t>Все</t>
  </si>
  <si>
    <t>Вопросы, связанные с запретами и ограничениями, связанными с прохождением госслужбы, а также вопросы противодействия манипуляциям.</t>
  </si>
  <si>
    <t>Все вопросы были актуальны</t>
  </si>
  <si>
    <t>Вопросы связанные  с урегулированием конфликта интересов</t>
  </si>
  <si>
    <t>-</t>
  </si>
  <si>
    <t>Противодействия манипуляциям</t>
  </si>
  <si>
    <t>Конфликт интересов и правовые основы в противодействии коррупции, так как это актуально и необходимо для служащих всех должностей (закупки не входят в мою деятельность)</t>
  </si>
  <si>
    <t>вопросы противодействия коррупции так как раскрыли больше информации по этому вопросу</t>
  </si>
  <si>
    <t>Техники противодействия манипуляциям при взаимодействии с гражданами и контрагентами</t>
  </si>
  <si>
    <t>Эффективные техники противодействия манипуляциям
при взаимодействии с гражданами и контрагентами</t>
  </si>
  <si>
    <t>В электронном курсе - запреты, ограничения для госслужащих. На очных занятиях большим открытием стал Шингаев Сергей Михайлович - эксперт высшей категории, рассказал всё о манипуляции доступным языком, спасибо</t>
  </si>
  <si>
    <t>кейсы с примерами по конфликту интересов</t>
  </si>
  <si>
    <t>Техники контрманипуляций</t>
  </si>
  <si>
    <t>полезные практики противодействия манипуляции</t>
  </si>
  <si>
    <t>Затрудняюсь ответить</t>
  </si>
  <si>
    <t>Все, освежил в памяти</t>
  </si>
  <si>
    <t>все темы курса были интересны и полезны</t>
  </si>
  <si>
    <t>очная тема про манипуляции, так как это полезно и для работы, и для жизни</t>
  </si>
  <si>
    <t>Понятие конфликт интересов на государственной гражданской службе.</t>
  </si>
  <si>
    <t>Вопрос противостояния манипуляциям, т.к. это очень актуально как на госслужбе, так и в обычной жизни.</t>
  </si>
  <si>
    <t>Техники противодействия манипуляциям при взаимодействии с гражданами и контрагентами, способы управления речевой агрессией - применимы к рабочим и жизненным ситуациям. Ограничения и запреты, связанные с государственной гражданской службой, как напоминание о том, что делать можно, а что нет.</t>
  </si>
  <si>
    <t>Вопросы в сфере закупок</t>
  </si>
  <si>
    <t>Вопросов не было.</t>
  </si>
  <si>
    <t>ежегодно при подаче декларации</t>
  </si>
  <si>
    <t>Техники противодействия манипуляциям</t>
  </si>
  <si>
    <t>Предоставление сведений о доходах</t>
  </si>
  <si>
    <t>все знания, умения и навыки</t>
  </si>
  <si>
    <t>Не конфликтовать</t>
  </si>
  <si>
    <t>Правовая база</t>
  </si>
  <si>
    <t>Понимание ФЗ "О противодействии коррупции, что позволяет соблюдать требования и избегать нарушение закона.</t>
  </si>
  <si>
    <t>Способы противодействия манипуляциям.</t>
  </si>
  <si>
    <t>Вся информация полезна и подлежит применению в работе</t>
  </si>
  <si>
    <t>Противодействия манипуляциям во время своей службы</t>
  </si>
  <si>
    <t>Знания правовой базы в сфере противодействия коррупции.</t>
  </si>
  <si>
    <t>теоретические</t>
  </si>
  <si>
    <t>Знание теоретических основ работы по противодействию коррупции, антикоррупционного законодательства. Умение выявлять различные проявления коррупционного поведения. Владение эффективными техниками противодействия манипуляциям при взаимодействии с гражданами и контрагентами</t>
  </si>
  <si>
    <t>техники противодействия манипуляциям</t>
  </si>
  <si>
    <t>Абсолютно все</t>
  </si>
  <si>
    <t>знания в области психологии  в части манипуляциями в рабочем коллективе</t>
  </si>
  <si>
    <t>все навыки и умения</t>
  </si>
  <si>
    <t>Применяю все знания и умения</t>
  </si>
  <si>
    <t>Речевая агрессия и манипуляции в деловом общении
Запреты и ограничения для гос.служащих</t>
  </si>
  <si>
    <t>знание своих обязанностей, как госслужащего</t>
  </si>
  <si>
    <t>Все, особенно методы противодействия манипулированию</t>
  </si>
  <si>
    <t>Стратегии поведения в ситуации речевой агрессии</t>
  </si>
  <si>
    <t>Манипуляции в деловом общении</t>
  </si>
  <si>
    <t>Противостояние манипуляциям</t>
  </si>
  <si>
    <t>Расширил знания, касающиеся противодействия коррупции.</t>
  </si>
  <si>
    <t>да</t>
  </si>
  <si>
    <t>никакие</t>
  </si>
  <si>
    <t>Никакие темы исключать не нужно</t>
  </si>
  <si>
    <t>затрудняюсь ответить</t>
  </si>
  <si>
    <t>Очная лекция от 28.01.2026 повторяется в электронном курсе</t>
  </si>
  <si>
    <t>Таких нет</t>
  </si>
  <si>
    <t>Все нужны</t>
  </si>
  <si>
    <t>Никакие</t>
  </si>
  <si>
    <t>Нет таких тем (вопросов).</t>
  </si>
  <si>
    <t>Такие темы отсутствуют</t>
  </si>
  <si>
    <t>В случае изменения действующего законодательства</t>
  </si>
  <si>
    <t>Все темы важны, стоит актуализировать в зависимости от изменений</t>
  </si>
  <si>
    <t>все нужны</t>
  </si>
  <si>
    <t>Допустимо исключить теоретический блок. Он представлен в эл. виде, только требует обновления ввиду появившихся изменений в законодательстве.</t>
  </si>
  <si>
    <t>ни какие</t>
  </si>
  <si>
    <t>Кучу кейсов судебной практики. Электронный курс и так представляет из себя сплошной текст, вырезанный из НПА, это сложно для восприятия при таком большом его объеме.</t>
  </si>
  <si>
    <t>все темы полезны</t>
  </si>
  <si>
    <t>нет</t>
  </si>
  <si>
    <t>Для моей сферы, госзакупки, но для общего развития было интересно</t>
  </si>
  <si>
    <t>Необходимость в исключении тем/вопросов отсутствует</t>
  </si>
  <si>
    <t>Все темы полезны.</t>
  </si>
  <si>
    <t>Все сохранить</t>
  </si>
  <si>
    <t>Отсутствуют предложения по данному вопросу</t>
  </si>
  <si>
    <t>--</t>
  </si>
  <si>
    <t>Все полезно.</t>
  </si>
  <si>
    <t>Уточнениями нормативно правовыми актами</t>
  </si>
  <si>
    <t>Больше часов для тем по манипуляциям, психологии в целом</t>
  </si>
  <si>
    <t>Наверное практическими примерами по изучаемой теме</t>
  </si>
  <si>
    <t>информация в разделе 5 устарела. Сведения о доходах с 01.01.2026 государственными служащими не предоставляется</t>
  </si>
  <si>
    <t>Все темы хорошо обьяснены</t>
  </si>
  <si>
    <t>Все учтено</t>
  </si>
  <si>
    <t>Дополнения не требуются.</t>
  </si>
  <si>
    <t>Программа содержит все необходимые темы.</t>
  </si>
  <si>
    <t>Многими</t>
  </si>
  <si>
    <t>Нет необходимости дополнять</t>
  </si>
  <si>
    <t>Добавить ещё больше практики</t>
  </si>
  <si>
    <t>Нет предложений</t>
  </si>
  <si>
    <t>не требуется</t>
  </si>
  <si>
    <t>В целом все устраивает</t>
  </si>
  <si>
    <t>увеличить количество часов лекций проводимых С.М.Шингаевым</t>
  </si>
  <si>
    <t>Думаю программу можно сделать более структурированной, материл - более тезисным, очень много текста, как будто он просто скопирован из нормативки без какой либо обработки. Наиболее важная информация (факты, сроки, даты) теряется среди всего объема</t>
  </si>
  <si>
    <t>программа не нуждается в дополнении</t>
  </si>
  <si>
    <t>никакими. программа полезна и актуальна</t>
  </si>
  <si>
    <t>Больше реальных ситуаций</t>
  </si>
  <si>
    <t>увеличить часы обучения по речевой агрессии и манипуляции</t>
  </si>
  <si>
    <t>не могу ответить</t>
  </si>
  <si>
    <t>не знаю</t>
  </si>
  <si>
    <t>Техники профилактики коррупции при работе с гражданами или контрагентами</t>
  </si>
  <si>
    <t>Необходимость отсутствует.</t>
  </si>
  <si>
    <t>Затрудняюсь ответить, на мой взгляд все сбалансировано.</t>
  </si>
  <si>
    <t>Всегда хочется больше практических занятий, интерактив</t>
  </si>
  <si>
    <t>Затрудняюсь ответить.</t>
  </si>
  <si>
    <t>примеры документов</t>
  </si>
  <si>
    <t>Ничего менять не нужно</t>
  </si>
  <si>
    <t>Все полезно</t>
  </si>
  <si>
    <t>предложения отсутствуют</t>
  </si>
  <si>
    <t>Больше вопросов</t>
  </si>
  <si>
    <t>Все хорошо организовано.</t>
  </si>
  <si>
    <t>ничего</t>
  </si>
  <si>
    <t>Ничего</t>
  </si>
  <si>
    <t>Предложения отсутствуют.</t>
  </si>
  <si>
    <t>Отлично</t>
  </si>
  <si>
    <t>Изменения не требуются, все хорошо, понятно и интересно</t>
  </si>
  <si>
    <t>Все устраивает</t>
  </si>
  <si>
    <t>Проводить все занятия в рабочее время</t>
  </si>
  <si>
    <t>Не стала бы менять</t>
  </si>
  <si>
    <t>все было очень информативно</t>
  </si>
  <si>
    <t>Изменений не требуется</t>
  </si>
  <si>
    <t>В части практических, очных встреч всё отлично</t>
  </si>
  <si>
    <t>практические занятия не нуждаются в изменении</t>
  </si>
  <si>
    <t>нет такого</t>
  </si>
  <si>
    <t>организация практических занятий устраивает</t>
  </si>
  <si>
    <t>Все понравилось</t>
  </si>
  <si>
    <t>Ничего.</t>
  </si>
  <si>
    <t>Программа очень полезна</t>
  </si>
  <si>
    <t>Перенести занятия на вечер.</t>
  </si>
  <si>
    <t>нет (комментария)</t>
  </si>
  <si>
    <t>да (В части вопроса о конфликте в сфере закупок)</t>
  </si>
  <si>
    <t>да (без комментария)</t>
  </si>
  <si>
    <t>большее количество примеров</t>
  </si>
  <si>
    <t>Добавить в презентацию больше инфографики</t>
  </si>
  <si>
    <t>Тема, преподаватели, организационный процесс, атмосфера и т.д.</t>
  </si>
  <si>
    <t>Такого нет</t>
  </si>
  <si>
    <t>Все хорошо устроено.</t>
  </si>
  <si>
    <t>была полностью вовлечена</t>
  </si>
  <si>
    <t>Вовлечен полностью</t>
  </si>
  <si>
    <t>Вовлеченность достаточна</t>
  </si>
  <si>
    <t>Пожалуй, все хорошо так, как есть</t>
  </si>
  <si>
    <t>Больше  занятий с преподавателями</t>
  </si>
  <si>
    <t>Еще больше практики</t>
  </si>
  <si>
    <t>Чуть более длинные сроки для прохождения теоретического блока</t>
  </si>
  <si>
    <t>ничего, все было хорошо</t>
  </si>
  <si>
    <t>Шингаев Сергей Михайлович прекрасно владеет активными методами обучения. Вся группа была полностью погружена в процесс</t>
  </si>
  <si>
    <t>всего достаточно</t>
  </si>
  <si>
    <t>Была достаточно вовлечена</t>
  </si>
  <si>
    <t>больше практических примеров</t>
  </si>
  <si>
    <t>ничего. вовлеченность была максимальна</t>
  </si>
  <si>
    <t>преподаватели</t>
  </si>
  <si>
    <t>тема по психологии</t>
  </si>
  <si>
    <t>Больше очных занятий</t>
  </si>
  <si>
    <t>выполнение индивидуальных заданий</t>
  </si>
  <si>
    <t>если бы было больше примеров из моей рабочей сферы деятельности</t>
  </si>
  <si>
    <t>.</t>
  </si>
  <si>
    <t>Я была вовлечена достаточно полно.</t>
  </si>
  <si>
    <t>Считаю, что был максимально вовлечен в процесс обучения</t>
  </si>
  <si>
    <t>Я был достаточно вовлечен</t>
  </si>
  <si>
    <t>полностью дистанционный формат обучения</t>
  </si>
  <si>
    <t>смешанное обучение: частично очно, частично дистанционно</t>
  </si>
  <si>
    <t>очное обучение в аудиториях Корпоративного университета</t>
  </si>
  <si>
    <t>все было комфортно</t>
  </si>
  <si>
    <t>Это была отличная командная работа на результат.</t>
  </si>
  <si>
    <t>В процессе взаимодействия получила определенные знания и навыки</t>
  </si>
  <si>
    <t>Очное обучение в аудиториях всегда интереснее дистанционного, но не после работы с 18 до 21.</t>
  </si>
  <si>
    <t>Ко</t>
  </si>
  <si>
    <t>Система обучения и координации в процессе обучения очень хорошо налажена.</t>
  </si>
  <si>
    <t>Вся информация сообщалась заранее и детально.</t>
  </si>
  <si>
    <t>Взаимодействие было эффективным.</t>
  </si>
  <si>
    <t>Куратор предоставил всю необходимую информацию.</t>
  </si>
  <si>
    <t>Очень интересно общаться с преподавалями в очном формате, однако, ввиду загруженности по работе и отдаленности, иногда удобно обучаться оффлайн</t>
  </si>
  <si>
    <t>живое общение</t>
  </si>
  <si>
    <t>Всё было оперативно</t>
  </si>
  <si>
    <t>Отличная организация процесса обучения! Спасибо!</t>
  </si>
  <si>
    <t>куратор всегда был на связи, а преподавателя всегда информативно отвечали на вопросы</t>
  </si>
  <si>
    <t>Взаимодействие было эффективным</t>
  </si>
  <si>
    <t>взаимодействие было эффективным</t>
  </si>
  <si>
    <t>Все сотрудники, куратор, преподаватели отличные люди и профессионалы</t>
  </si>
  <si>
    <t>обучение было интересным и эффективным</t>
  </si>
  <si>
    <t>Взаимодействие с командой Корпоративного университета на протяжении всего периода обучения было комфортным и эффективным</t>
  </si>
  <si>
    <t>отличная команда</t>
  </si>
  <si>
    <t>все очень понравилось</t>
  </si>
  <si>
    <t>Всем спасибо за организацию и участие</t>
  </si>
  <si>
    <t>все хорошо организовано, проблем не возникало</t>
  </si>
  <si>
    <t>все отлично!</t>
  </si>
  <si>
    <t>10/10</t>
  </si>
  <si>
    <t>Команда профессионалов.</t>
  </si>
  <si>
    <t>Сотрудники Университета встречали до начала занятий, разъясняли подробно о процессе обучения, отвечали на все вопросы, как очно так и по телефону.</t>
  </si>
  <si>
    <t>Все грамотно организовано, раздаточный материал, современное оборудование в аудиториях, наличие воды, вежливые сотрудники. Спасибо вам.</t>
  </si>
  <si>
    <t>Спасибо за обучение! Все было максимально эффективно, все возникающие проблемы были своевременно решены.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</si>
</sst>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48"/>
  <sheetViews>
    <sheetView tabSelected="1" workbookViewId="0">
      <selection activeCell="A2" sqref="A2:B36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7" width="26.85546875" customWidth="1"/>
    <col min="8" max="8" width="26.5703125" customWidth="1"/>
    <col min="9" max="9" width="27" customWidth="1"/>
    <col min="10" max="10" width="32.140625" customWidth="1"/>
    <col min="11" max="11" width="25.7109375" customWidth="1"/>
    <col min="12" max="12" width="25.140625" customWidth="1"/>
    <col min="13" max="13" width="26.28515625" customWidth="1"/>
    <col min="14" max="14" width="24.85546875" customWidth="1"/>
    <col min="15" max="15" width="23.5703125" customWidth="1"/>
    <col min="16" max="16" width="24.85546875" customWidth="1"/>
    <col min="17" max="17" width="24" customWidth="1"/>
    <col min="18" max="18" width="24.28515625" customWidth="1"/>
    <col min="19" max="19" width="35.5703125" customWidth="1"/>
    <col min="20" max="20" width="24.140625" customWidth="1"/>
    <col min="21" max="21" width="21.140625" customWidth="1"/>
    <col min="22" max="22" width="20.28515625" customWidth="1"/>
  </cols>
  <sheetData>
    <row r="1" spans="1:100" ht="173.25" customHeight="1" x14ac:dyDescent="0.25">
      <c r="A1" s="5" t="s">
        <v>7</v>
      </c>
      <c r="B1" s="5" t="s">
        <v>8</v>
      </c>
      <c r="C1" s="5" t="s">
        <v>9</v>
      </c>
      <c r="D1" s="4" t="s">
        <v>23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4" t="s">
        <v>24</v>
      </c>
      <c r="K1" s="5" t="s">
        <v>15</v>
      </c>
      <c r="L1" s="5" t="s">
        <v>16</v>
      </c>
      <c r="M1" s="4" t="s">
        <v>25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26</v>
      </c>
      <c r="T1" s="5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60" x14ac:dyDescent="0.25">
      <c r="A2" s="1"/>
      <c r="B2" s="1"/>
      <c r="C2" s="1" t="s">
        <v>28</v>
      </c>
      <c r="D2" s="8">
        <v>9</v>
      </c>
      <c r="E2" s="1" t="s">
        <v>40</v>
      </c>
      <c r="F2" s="1" t="s">
        <v>70</v>
      </c>
      <c r="G2" t="s">
        <v>95</v>
      </c>
      <c r="H2" s="1" t="s">
        <v>96</v>
      </c>
      <c r="I2" s="1" t="s">
        <v>120</v>
      </c>
      <c r="J2" s="7">
        <v>8</v>
      </c>
      <c r="K2" t="s">
        <v>95</v>
      </c>
      <c r="L2" s="1" t="s">
        <v>147</v>
      </c>
      <c r="M2" s="7">
        <v>8</v>
      </c>
      <c r="N2" t="s">
        <v>95</v>
      </c>
      <c r="O2" t="s">
        <v>95</v>
      </c>
      <c r="P2" t="s">
        <v>112</v>
      </c>
      <c r="Q2" s="1" t="s">
        <v>174</v>
      </c>
      <c r="R2" s="1" t="s">
        <v>201</v>
      </c>
      <c r="S2" s="7">
        <v>5</v>
      </c>
      <c r="T2" s="1" t="s">
        <v>204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45" x14ac:dyDescent="0.25">
      <c r="A3" s="1"/>
      <c r="B3" s="1"/>
      <c r="C3" s="1" t="s">
        <v>29</v>
      </c>
      <c r="D3" s="8">
        <v>10</v>
      </c>
      <c r="E3" s="1" t="s">
        <v>41</v>
      </c>
      <c r="F3" s="1" t="s">
        <v>71</v>
      </c>
      <c r="G3" t="s">
        <v>95</v>
      </c>
      <c r="H3" s="1" t="s">
        <v>97</v>
      </c>
      <c r="I3" s="1" t="s">
        <v>121</v>
      </c>
      <c r="J3" s="7">
        <v>10</v>
      </c>
      <c r="K3" t="s">
        <v>95</v>
      </c>
      <c r="L3" s="1" t="s">
        <v>148</v>
      </c>
      <c r="M3" s="7">
        <v>10</v>
      </c>
      <c r="N3" t="s">
        <v>95</v>
      </c>
      <c r="O3" t="s">
        <v>95</v>
      </c>
      <c r="P3" t="s">
        <v>112</v>
      </c>
      <c r="Q3" s="1" t="s">
        <v>175</v>
      </c>
      <c r="R3" s="1" t="s">
        <v>202</v>
      </c>
      <c r="S3" s="7">
        <v>10</v>
      </c>
      <c r="T3" s="1" t="s">
        <v>205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75" x14ac:dyDescent="0.25">
      <c r="A4" s="1"/>
      <c r="B4" s="1"/>
      <c r="C4" s="1" t="s">
        <v>30</v>
      </c>
      <c r="D4" s="8">
        <v>10</v>
      </c>
      <c r="E4" s="1" t="s">
        <v>42</v>
      </c>
      <c r="F4" s="1" t="s">
        <v>72</v>
      </c>
      <c r="G4" t="s">
        <v>95</v>
      </c>
      <c r="H4" s="1" t="s">
        <v>98</v>
      </c>
      <c r="I4" s="1" t="s">
        <v>122</v>
      </c>
      <c r="J4" s="7">
        <v>10</v>
      </c>
      <c r="K4" t="s">
        <v>95</v>
      </c>
      <c r="L4" s="1" t="s">
        <v>149</v>
      </c>
      <c r="M4" s="7">
        <v>9</v>
      </c>
      <c r="N4" t="s">
        <v>95</v>
      </c>
      <c r="O4" t="s">
        <v>95</v>
      </c>
      <c r="P4" t="s">
        <v>112</v>
      </c>
      <c r="Q4" s="1" t="s">
        <v>176</v>
      </c>
      <c r="R4" s="1" t="s">
        <v>202</v>
      </c>
      <c r="S4" s="7">
        <v>8</v>
      </c>
      <c r="T4" s="1" t="s">
        <v>206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90" x14ac:dyDescent="0.25">
      <c r="A5" s="1"/>
      <c r="B5" s="1"/>
      <c r="C5" s="1" t="s">
        <v>30</v>
      </c>
      <c r="D5" s="8">
        <v>10</v>
      </c>
      <c r="E5" s="1" t="s">
        <v>43</v>
      </c>
      <c r="F5" s="1" t="s">
        <v>73</v>
      </c>
      <c r="G5" t="s">
        <v>95</v>
      </c>
      <c r="H5" s="1" t="s">
        <v>99</v>
      </c>
      <c r="I5" s="1" t="s">
        <v>123</v>
      </c>
      <c r="J5" s="7">
        <v>10</v>
      </c>
      <c r="K5" t="s">
        <v>95</v>
      </c>
      <c r="L5" s="1" t="s">
        <v>150</v>
      </c>
      <c r="M5" s="7">
        <v>10</v>
      </c>
      <c r="N5" t="s">
        <v>95</v>
      </c>
      <c r="O5" t="s">
        <v>171</v>
      </c>
      <c r="P5" t="s">
        <v>112</v>
      </c>
      <c r="Q5" s="1" t="s">
        <v>150</v>
      </c>
      <c r="R5" s="1" t="s">
        <v>203</v>
      </c>
      <c r="S5" s="7">
        <v>10</v>
      </c>
      <c r="T5" s="1" t="s">
        <v>207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45" x14ac:dyDescent="0.25">
      <c r="A6" s="1"/>
      <c r="B6" s="1"/>
      <c r="C6" s="1" t="s">
        <v>31</v>
      </c>
      <c r="D6" s="8">
        <v>5</v>
      </c>
      <c r="E6" s="1" t="s">
        <v>44</v>
      </c>
      <c r="F6" s="1" t="s">
        <v>74</v>
      </c>
      <c r="G6" t="s">
        <v>95</v>
      </c>
      <c r="H6" s="1" t="s">
        <v>100</v>
      </c>
      <c r="I6" s="1" t="s">
        <v>124</v>
      </c>
      <c r="J6" s="7">
        <v>8</v>
      </c>
      <c r="K6" t="s">
        <v>95</v>
      </c>
      <c r="L6" s="1" t="s">
        <v>151</v>
      </c>
      <c r="M6" s="7">
        <v>8</v>
      </c>
      <c r="N6" t="s">
        <v>95</v>
      </c>
      <c r="O6" t="s">
        <v>95</v>
      </c>
      <c r="P6" t="s">
        <v>112</v>
      </c>
      <c r="Q6" s="1" t="s">
        <v>177</v>
      </c>
      <c r="R6" s="1" t="s">
        <v>201</v>
      </c>
      <c r="S6" s="7">
        <v>8</v>
      </c>
      <c r="T6" s="1" t="s">
        <v>208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5" x14ac:dyDescent="0.25">
      <c r="A7" s="1"/>
      <c r="B7" s="1"/>
      <c r="C7" s="1" t="s">
        <v>32</v>
      </c>
      <c r="D7" s="8">
        <v>10</v>
      </c>
      <c r="E7" s="1" t="s">
        <v>45</v>
      </c>
      <c r="F7" s="1" t="s">
        <v>75</v>
      </c>
      <c r="G7" t="s">
        <v>95</v>
      </c>
      <c r="H7" s="1" t="s">
        <v>101</v>
      </c>
      <c r="I7" s="1" t="s">
        <v>125</v>
      </c>
      <c r="J7" s="7">
        <v>10</v>
      </c>
      <c r="K7" t="s">
        <v>95</v>
      </c>
      <c r="L7" s="1" t="s">
        <v>152</v>
      </c>
      <c r="M7" s="7">
        <v>10</v>
      </c>
      <c r="N7" t="s">
        <v>95</v>
      </c>
      <c r="O7" t="s">
        <v>95</v>
      </c>
      <c r="P7" t="s">
        <v>112</v>
      </c>
      <c r="Q7" s="1" t="s">
        <v>178</v>
      </c>
      <c r="R7" s="1" t="s">
        <v>202</v>
      </c>
      <c r="S7" s="7">
        <v>10</v>
      </c>
      <c r="T7" s="1" t="s">
        <v>209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90" x14ac:dyDescent="0.25">
      <c r="A8" s="1"/>
      <c r="B8" s="1"/>
      <c r="C8" s="1" t="s">
        <v>27</v>
      </c>
      <c r="D8" s="8">
        <v>10</v>
      </c>
      <c r="E8" s="1" t="s">
        <v>46</v>
      </c>
      <c r="F8" s="1" t="s">
        <v>76</v>
      </c>
      <c r="G8" t="s">
        <v>95</v>
      </c>
      <c r="H8" s="1" t="s">
        <v>51</v>
      </c>
      <c r="I8" s="1" t="s">
        <v>51</v>
      </c>
      <c r="J8" s="7">
        <v>10</v>
      </c>
      <c r="K8" t="s">
        <v>95</v>
      </c>
      <c r="L8" s="1" t="s">
        <v>153</v>
      </c>
      <c r="M8" s="7">
        <v>10</v>
      </c>
      <c r="N8" t="s">
        <v>95</v>
      </c>
      <c r="O8" t="s">
        <v>95</v>
      </c>
      <c r="P8" t="s">
        <v>112</v>
      </c>
      <c r="Q8" s="1" t="s">
        <v>179</v>
      </c>
      <c r="R8" s="1" t="s">
        <v>202</v>
      </c>
      <c r="S8" s="7">
        <v>10</v>
      </c>
      <c r="T8" s="1" t="s">
        <v>210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45" x14ac:dyDescent="0.25">
      <c r="A9" s="1"/>
      <c r="B9" s="1"/>
      <c r="C9" s="1" t="s">
        <v>27</v>
      </c>
      <c r="D9" s="8">
        <v>10</v>
      </c>
      <c r="E9" s="1" t="s">
        <v>47</v>
      </c>
      <c r="F9" s="1" t="s">
        <v>47</v>
      </c>
      <c r="G9" t="s">
        <v>95</v>
      </c>
      <c r="H9" s="1" t="s">
        <v>102</v>
      </c>
      <c r="I9" s="1" t="s">
        <v>126</v>
      </c>
      <c r="J9" s="7">
        <v>10</v>
      </c>
      <c r="K9" t="s">
        <v>95</v>
      </c>
      <c r="L9" s="1" t="s">
        <v>154</v>
      </c>
      <c r="M9" s="7">
        <v>10</v>
      </c>
      <c r="N9" t="s">
        <v>95</v>
      </c>
      <c r="O9" t="s">
        <v>95</v>
      </c>
      <c r="P9" t="s">
        <v>112</v>
      </c>
      <c r="Q9" s="1" t="s">
        <v>180</v>
      </c>
      <c r="R9" s="1" t="s">
        <v>202</v>
      </c>
      <c r="S9" s="7">
        <v>10</v>
      </c>
      <c r="T9" s="1" t="s">
        <v>211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105" x14ac:dyDescent="0.25">
      <c r="A10" s="1"/>
      <c r="B10" s="1"/>
      <c r="C10" s="1" t="s">
        <v>33</v>
      </c>
      <c r="D10" s="8">
        <v>10</v>
      </c>
      <c r="E10" s="1" t="s">
        <v>48</v>
      </c>
      <c r="F10" s="1" t="s">
        <v>77</v>
      </c>
      <c r="G10" t="s">
        <v>95</v>
      </c>
      <c r="H10" s="1" t="s">
        <v>103</v>
      </c>
      <c r="I10" s="1" t="s">
        <v>127</v>
      </c>
      <c r="J10" s="7">
        <v>10</v>
      </c>
      <c r="K10" t="s">
        <v>95</v>
      </c>
      <c r="L10" s="1" t="s">
        <v>155</v>
      </c>
      <c r="M10" s="7">
        <v>10</v>
      </c>
      <c r="N10" t="s">
        <v>95</v>
      </c>
      <c r="O10" t="s">
        <v>95</v>
      </c>
      <c r="P10" t="s">
        <v>112</v>
      </c>
      <c r="Q10" s="1" t="s">
        <v>181</v>
      </c>
      <c r="R10" s="1" t="s">
        <v>202</v>
      </c>
      <c r="S10" s="7">
        <v>10</v>
      </c>
      <c r="T10" s="1" t="s">
        <v>212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45" x14ac:dyDescent="0.25">
      <c r="A11" s="1"/>
      <c r="B11" s="1"/>
      <c r="C11" s="1" t="s">
        <v>27</v>
      </c>
      <c r="D11" s="8">
        <v>10</v>
      </c>
      <c r="E11" s="1" t="s">
        <v>47</v>
      </c>
      <c r="F11" s="1" t="s">
        <v>47</v>
      </c>
      <c r="G11" t="s">
        <v>95</v>
      </c>
      <c r="H11" s="1" t="s">
        <v>47</v>
      </c>
      <c r="I11" s="1" t="s">
        <v>128</v>
      </c>
      <c r="J11" s="7">
        <v>10</v>
      </c>
      <c r="K11" t="s">
        <v>95</v>
      </c>
      <c r="L11" s="1" t="s">
        <v>156</v>
      </c>
      <c r="M11" s="7">
        <v>10</v>
      </c>
      <c r="N11" t="s">
        <v>95</v>
      </c>
      <c r="O11" t="s">
        <v>95</v>
      </c>
      <c r="P11" t="s">
        <v>112</v>
      </c>
      <c r="Q11" s="1" t="s">
        <v>156</v>
      </c>
      <c r="R11" s="1" t="s">
        <v>202</v>
      </c>
      <c r="S11" s="7">
        <v>10</v>
      </c>
      <c r="T11" s="1" t="s">
        <v>156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120" x14ac:dyDescent="0.25">
      <c r="A12" s="1"/>
      <c r="B12" s="1"/>
      <c r="C12" s="1" t="s">
        <v>32</v>
      </c>
      <c r="D12" s="8">
        <v>10</v>
      </c>
      <c r="E12" s="1" t="s">
        <v>49</v>
      </c>
      <c r="F12" s="1" t="s">
        <v>78</v>
      </c>
      <c r="G12" t="s">
        <v>95</v>
      </c>
      <c r="H12" s="1" t="s">
        <v>104</v>
      </c>
      <c r="I12" s="1" t="s">
        <v>129</v>
      </c>
      <c r="J12" s="7">
        <v>10</v>
      </c>
      <c r="K12" t="s">
        <v>95</v>
      </c>
      <c r="L12" s="1" t="s">
        <v>157</v>
      </c>
      <c r="M12" s="7">
        <v>10</v>
      </c>
      <c r="N12" t="s">
        <v>95</v>
      </c>
      <c r="O12" t="s">
        <v>95</v>
      </c>
      <c r="P12" t="s">
        <v>112</v>
      </c>
      <c r="Q12" s="1" t="s">
        <v>182</v>
      </c>
      <c r="R12" s="1" t="s">
        <v>202</v>
      </c>
      <c r="S12" s="7">
        <v>10</v>
      </c>
      <c r="T12" s="1" t="s">
        <v>213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45" x14ac:dyDescent="0.25">
      <c r="A13" s="1"/>
      <c r="B13" s="1"/>
      <c r="C13" s="1" t="s">
        <v>31</v>
      </c>
      <c r="D13" s="8">
        <v>10</v>
      </c>
      <c r="E13" s="1" t="s">
        <v>50</v>
      </c>
      <c r="F13" s="1" t="s">
        <v>47</v>
      </c>
      <c r="G13" t="s">
        <v>95</v>
      </c>
      <c r="H13" s="1" t="s">
        <v>105</v>
      </c>
      <c r="I13" s="1" t="s">
        <v>42</v>
      </c>
      <c r="J13" s="7">
        <v>10</v>
      </c>
      <c r="K13" t="s">
        <v>95</v>
      </c>
      <c r="L13" s="1" t="s">
        <v>158</v>
      </c>
      <c r="M13" s="7">
        <v>10</v>
      </c>
      <c r="N13" t="s">
        <v>95</v>
      </c>
      <c r="O13" t="s">
        <v>95</v>
      </c>
      <c r="P13" t="s">
        <v>112</v>
      </c>
      <c r="Q13" s="1" t="s">
        <v>183</v>
      </c>
      <c r="R13" s="1" t="s">
        <v>202</v>
      </c>
      <c r="S13" s="7">
        <v>10</v>
      </c>
      <c r="T13" s="1" t="s">
        <v>214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45" x14ac:dyDescent="0.25">
      <c r="A14" s="1"/>
      <c r="B14" s="1"/>
      <c r="C14" s="1" t="s">
        <v>30</v>
      </c>
      <c r="D14" s="8">
        <v>7</v>
      </c>
      <c r="E14" s="1" t="s">
        <v>51</v>
      </c>
      <c r="F14" s="1" t="s">
        <v>51</v>
      </c>
      <c r="G14" t="s">
        <v>95</v>
      </c>
      <c r="H14" s="1" t="s">
        <v>51</v>
      </c>
      <c r="I14" s="1" t="s">
        <v>51</v>
      </c>
      <c r="J14" s="7">
        <v>8</v>
      </c>
      <c r="K14" t="s">
        <v>95</v>
      </c>
      <c r="L14" s="1" t="s">
        <v>51</v>
      </c>
      <c r="M14" s="7">
        <v>8</v>
      </c>
      <c r="N14" t="s">
        <v>95</v>
      </c>
      <c r="O14" t="s">
        <v>95</v>
      </c>
      <c r="P14" t="s">
        <v>112</v>
      </c>
      <c r="Q14" s="1" t="s">
        <v>51</v>
      </c>
      <c r="R14" s="1" t="s">
        <v>201</v>
      </c>
      <c r="S14" s="7">
        <v>9</v>
      </c>
      <c r="T14" s="1" t="s">
        <v>51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45" x14ac:dyDescent="0.25">
      <c r="A15" s="1"/>
      <c r="B15" s="1"/>
      <c r="C15" s="1" t="s">
        <v>33</v>
      </c>
      <c r="D15" s="8">
        <v>9</v>
      </c>
      <c r="E15" s="1" t="s">
        <v>52</v>
      </c>
      <c r="F15" s="1" t="s">
        <v>79</v>
      </c>
      <c r="G15" t="s">
        <v>95</v>
      </c>
      <c r="H15" s="1" t="s">
        <v>102</v>
      </c>
      <c r="I15" s="1" t="s">
        <v>130</v>
      </c>
      <c r="J15" s="7">
        <v>10</v>
      </c>
      <c r="K15" t="s">
        <v>95</v>
      </c>
      <c r="L15" s="1" t="s">
        <v>159</v>
      </c>
      <c r="M15" s="7">
        <v>10</v>
      </c>
      <c r="N15" t="s">
        <v>95</v>
      </c>
      <c r="O15" t="s">
        <v>95</v>
      </c>
      <c r="P15" t="s">
        <v>112</v>
      </c>
      <c r="Q15" s="1" t="s">
        <v>184</v>
      </c>
      <c r="R15" s="1" t="s">
        <v>202</v>
      </c>
      <c r="S15" s="7">
        <v>10</v>
      </c>
      <c r="T15" s="1" t="s">
        <v>215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120" x14ac:dyDescent="0.25">
      <c r="A16" s="1"/>
      <c r="B16" s="1"/>
      <c r="C16" s="1" t="s">
        <v>27</v>
      </c>
      <c r="D16" s="8">
        <v>9</v>
      </c>
      <c r="E16" s="1" t="s">
        <v>53</v>
      </c>
      <c r="F16" s="1" t="s">
        <v>80</v>
      </c>
      <c r="G16" t="s">
        <v>95</v>
      </c>
      <c r="H16" s="1" t="s">
        <v>106</v>
      </c>
      <c r="I16" s="1" t="s">
        <v>131</v>
      </c>
      <c r="J16" s="7">
        <v>10</v>
      </c>
      <c r="K16" t="s">
        <v>95</v>
      </c>
      <c r="L16" s="1" t="s">
        <v>160</v>
      </c>
      <c r="M16" s="7">
        <v>10</v>
      </c>
      <c r="N16" t="s">
        <v>95</v>
      </c>
      <c r="O16" t="s">
        <v>95</v>
      </c>
      <c r="P16" t="s">
        <v>112</v>
      </c>
      <c r="Q16" s="1" t="s">
        <v>185</v>
      </c>
      <c r="R16" s="1" t="s">
        <v>202</v>
      </c>
      <c r="S16" s="7">
        <v>10</v>
      </c>
      <c r="T16" s="1" t="s">
        <v>216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60" x14ac:dyDescent="0.25">
      <c r="A17" s="1"/>
      <c r="B17" s="1"/>
      <c r="C17" s="1" t="s">
        <v>27</v>
      </c>
      <c r="D17" s="8">
        <v>10</v>
      </c>
      <c r="E17" s="1" t="s">
        <v>54</v>
      </c>
      <c r="F17" s="1" t="s">
        <v>81</v>
      </c>
      <c r="G17" t="s">
        <v>95</v>
      </c>
      <c r="H17" s="1" t="s">
        <v>107</v>
      </c>
      <c r="I17" s="1" t="s">
        <v>132</v>
      </c>
      <c r="J17" s="7">
        <v>10</v>
      </c>
      <c r="K17" t="s">
        <v>95</v>
      </c>
      <c r="L17" s="1" t="s">
        <v>161</v>
      </c>
      <c r="M17" s="7">
        <v>10</v>
      </c>
      <c r="N17" t="s">
        <v>95</v>
      </c>
      <c r="O17" t="s">
        <v>95</v>
      </c>
      <c r="P17" t="s">
        <v>112</v>
      </c>
      <c r="Q17" s="1" t="s">
        <v>186</v>
      </c>
      <c r="R17" s="1" t="s">
        <v>202</v>
      </c>
      <c r="S17" s="7">
        <v>10</v>
      </c>
      <c r="T17" s="1" t="s">
        <v>217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240" x14ac:dyDescent="0.25">
      <c r="A18" s="1"/>
      <c r="B18" s="1"/>
      <c r="C18" s="1" t="s">
        <v>27</v>
      </c>
      <c r="D18" s="8">
        <v>10</v>
      </c>
      <c r="E18" s="1" t="s">
        <v>55</v>
      </c>
      <c r="F18" s="1" t="s">
        <v>82</v>
      </c>
      <c r="G18" t="s">
        <v>95</v>
      </c>
      <c r="H18" s="1" t="s">
        <v>108</v>
      </c>
      <c r="I18" s="1" t="s">
        <v>133</v>
      </c>
      <c r="J18" s="7">
        <v>10</v>
      </c>
      <c r="K18" t="s">
        <v>95</v>
      </c>
      <c r="L18" s="1" t="s">
        <v>162</v>
      </c>
      <c r="M18" s="7">
        <v>10</v>
      </c>
      <c r="N18" t="s">
        <v>95</v>
      </c>
      <c r="O18" t="s">
        <v>95</v>
      </c>
      <c r="P18" t="s">
        <v>112</v>
      </c>
      <c r="Q18" s="1" t="s">
        <v>187</v>
      </c>
      <c r="R18" s="1" t="s">
        <v>202</v>
      </c>
      <c r="S18" s="7">
        <v>10</v>
      </c>
      <c r="T18" s="1" t="s">
        <v>218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45" x14ac:dyDescent="0.25">
      <c r="A19" s="1"/>
      <c r="B19" s="1"/>
      <c r="C19" s="1" t="s">
        <v>27</v>
      </c>
      <c r="D19" s="8">
        <v>10</v>
      </c>
      <c r="E19" s="1" t="s">
        <v>51</v>
      </c>
      <c r="F19" s="1" t="s">
        <v>51</v>
      </c>
      <c r="G19" t="s">
        <v>95</v>
      </c>
      <c r="H19" s="1" t="s">
        <v>51</v>
      </c>
      <c r="I19" s="1" t="s">
        <v>51</v>
      </c>
      <c r="J19" s="7">
        <v>10</v>
      </c>
      <c r="K19" t="s">
        <v>95</v>
      </c>
      <c r="L19" s="1" t="s">
        <v>51</v>
      </c>
      <c r="M19" s="7">
        <v>10</v>
      </c>
      <c r="N19" t="s">
        <v>95</v>
      </c>
      <c r="O19" t="s">
        <v>95</v>
      </c>
      <c r="P19" t="s">
        <v>112</v>
      </c>
      <c r="Q19" s="1" t="s">
        <v>51</v>
      </c>
      <c r="R19" s="1" t="s">
        <v>202</v>
      </c>
      <c r="S19" s="7">
        <v>10</v>
      </c>
      <c r="T19" s="1" t="s">
        <v>51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90" x14ac:dyDescent="0.25">
      <c r="A20" s="1"/>
      <c r="B20" s="1"/>
      <c r="C20" s="1" t="s">
        <v>34</v>
      </c>
      <c r="D20" s="8">
        <v>10</v>
      </c>
      <c r="E20" s="1" t="s">
        <v>56</v>
      </c>
      <c r="F20" s="1" t="s">
        <v>83</v>
      </c>
      <c r="G20" t="s">
        <v>95</v>
      </c>
      <c r="H20" s="1" t="s">
        <v>109</v>
      </c>
      <c r="I20" s="1" t="s">
        <v>134</v>
      </c>
      <c r="J20" s="7">
        <v>9</v>
      </c>
      <c r="K20" t="s">
        <v>112</v>
      </c>
      <c r="L20" s="1" t="s">
        <v>153</v>
      </c>
      <c r="M20" s="7">
        <v>10</v>
      </c>
      <c r="N20" t="s">
        <v>95</v>
      </c>
      <c r="O20" t="s">
        <v>95</v>
      </c>
      <c r="P20" t="s">
        <v>112</v>
      </c>
      <c r="Q20" s="1" t="s">
        <v>188</v>
      </c>
      <c r="R20" s="1" t="s">
        <v>202</v>
      </c>
      <c r="S20" s="7">
        <v>10</v>
      </c>
      <c r="T20" s="1" t="s">
        <v>219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180" x14ac:dyDescent="0.25">
      <c r="A21" s="1"/>
      <c r="B21" s="1"/>
      <c r="C21" s="1" t="s">
        <v>27</v>
      </c>
      <c r="D21" s="8">
        <v>9</v>
      </c>
      <c r="E21" s="1" t="s">
        <v>57</v>
      </c>
      <c r="F21" s="1" t="s">
        <v>84</v>
      </c>
      <c r="G21" t="s">
        <v>95</v>
      </c>
      <c r="H21" s="1" t="s">
        <v>110</v>
      </c>
      <c r="I21" s="1" t="s">
        <v>135</v>
      </c>
      <c r="J21" s="7">
        <v>9</v>
      </c>
      <c r="K21" t="s">
        <v>95</v>
      </c>
      <c r="L21" s="1" t="s">
        <v>163</v>
      </c>
      <c r="M21" s="7">
        <v>4</v>
      </c>
      <c r="N21" t="s">
        <v>95</v>
      </c>
      <c r="O21" t="s">
        <v>95</v>
      </c>
      <c r="P21" t="s">
        <v>112</v>
      </c>
      <c r="Q21" s="1" t="s">
        <v>189</v>
      </c>
      <c r="R21" s="1" t="s">
        <v>203</v>
      </c>
      <c r="S21" s="7">
        <v>10</v>
      </c>
      <c r="T21" s="1" t="s">
        <v>220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60" x14ac:dyDescent="0.25">
      <c r="A22" s="1"/>
      <c r="B22" s="1"/>
      <c r="C22" s="1" t="s">
        <v>35</v>
      </c>
      <c r="D22" s="8">
        <v>8</v>
      </c>
      <c r="E22" s="1" t="s">
        <v>58</v>
      </c>
      <c r="F22" s="1" t="s">
        <v>85</v>
      </c>
      <c r="G22" t="s">
        <v>95</v>
      </c>
      <c r="H22" s="1" t="s">
        <v>111</v>
      </c>
      <c r="I22" s="1" t="s">
        <v>136</v>
      </c>
      <c r="J22" s="7">
        <v>10</v>
      </c>
      <c r="K22" t="s">
        <v>95</v>
      </c>
      <c r="L22" s="1" t="s">
        <v>164</v>
      </c>
      <c r="M22" s="7">
        <v>10</v>
      </c>
      <c r="N22" t="s">
        <v>95</v>
      </c>
      <c r="O22" t="s">
        <v>95</v>
      </c>
      <c r="P22" t="s">
        <v>112</v>
      </c>
      <c r="Q22" s="1" t="s">
        <v>190</v>
      </c>
      <c r="R22" s="1" t="s">
        <v>202</v>
      </c>
      <c r="S22" s="7">
        <v>10</v>
      </c>
      <c r="T22" s="1" t="s">
        <v>221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60" x14ac:dyDescent="0.25">
      <c r="A23" s="1"/>
      <c r="B23" s="1"/>
      <c r="C23" s="1" t="s">
        <v>28</v>
      </c>
      <c r="D23" s="8">
        <v>7</v>
      </c>
      <c r="E23" s="1" t="s">
        <v>51</v>
      </c>
      <c r="F23" s="1" t="s">
        <v>51</v>
      </c>
      <c r="G23" t="s">
        <v>95</v>
      </c>
      <c r="H23" s="1" t="s">
        <v>51</v>
      </c>
      <c r="I23" s="1" t="s">
        <v>51</v>
      </c>
      <c r="J23" s="7">
        <v>8</v>
      </c>
      <c r="K23" t="s">
        <v>95</v>
      </c>
      <c r="L23" s="1" t="s">
        <v>51</v>
      </c>
      <c r="M23" s="7">
        <v>10</v>
      </c>
      <c r="N23" t="s">
        <v>95</v>
      </c>
      <c r="O23" t="s">
        <v>95</v>
      </c>
      <c r="P23" t="s">
        <v>173</v>
      </c>
      <c r="Q23" s="1" t="s">
        <v>51</v>
      </c>
      <c r="R23" s="1" t="s">
        <v>201</v>
      </c>
      <c r="S23" s="7">
        <v>10</v>
      </c>
      <c r="T23" s="1" t="s">
        <v>51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120" x14ac:dyDescent="0.25">
      <c r="A24" s="1"/>
      <c r="B24" s="1"/>
      <c r="C24" s="1" t="s">
        <v>36</v>
      </c>
      <c r="D24" s="8">
        <v>10</v>
      </c>
      <c r="E24" s="1" t="s">
        <v>59</v>
      </c>
      <c r="F24" s="1" t="s">
        <v>47</v>
      </c>
      <c r="G24" t="s">
        <v>95</v>
      </c>
      <c r="H24" s="1" t="s">
        <v>96</v>
      </c>
      <c r="I24" s="1" t="s">
        <v>137</v>
      </c>
      <c r="J24" s="7">
        <v>10</v>
      </c>
      <c r="K24" t="s">
        <v>95</v>
      </c>
      <c r="L24" s="1" t="s">
        <v>153</v>
      </c>
      <c r="M24" s="7">
        <v>10</v>
      </c>
      <c r="N24" t="s">
        <v>95</v>
      </c>
      <c r="O24" t="s">
        <v>95</v>
      </c>
      <c r="P24" t="s">
        <v>112</v>
      </c>
      <c r="Q24" s="1" t="s">
        <v>191</v>
      </c>
      <c r="R24" s="1" t="s">
        <v>202</v>
      </c>
      <c r="S24" s="7">
        <v>10</v>
      </c>
      <c r="T24" s="1" t="s">
        <v>222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60" x14ac:dyDescent="0.25">
      <c r="A25" s="1"/>
      <c r="B25" s="1"/>
      <c r="C25" s="1" t="s">
        <v>31</v>
      </c>
      <c r="D25" s="8">
        <v>10</v>
      </c>
      <c r="E25" s="1" t="s">
        <v>60</v>
      </c>
      <c r="F25" s="1" t="s">
        <v>60</v>
      </c>
      <c r="G25" t="s">
        <v>95</v>
      </c>
      <c r="H25" s="1" t="s">
        <v>112</v>
      </c>
      <c r="I25" s="1" t="s">
        <v>112</v>
      </c>
      <c r="J25" s="7">
        <v>10</v>
      </c>
      <c r="K25" t="s">
        <v>95</v>
      </c>
      <c r="L25" s="1" t="s">
        <v>165</v>
      </c>
      <c r="M25" s="7">
        <v>10</v>
      </c>
      <c r="N25" t="s">
        <v>95</v>
      </c>
      <c r="O25" t="s">
        <v>95</v>
      </c>
      <c r="P25" t="s">
        <v>112</v>
      </c>
      <c r="Q25" s="1" t="s">
        <v>192</v>
      </c>
      <c r="R25" s="1" t="s">
        <v>203</v>
      </c>
      <c r="S25" s="7">
        <v>10</v>
      </c>
      <c r="T25" s="1" t="s">
        <v>223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45" x14ac:dyDescent="0.25">
      <c r="A26" s="1"/>
      <c r="B26" s="1"/>
      <c r="C26" s="1" t="s">
        <v>29</v>
      </c>
      <c r="D26" s="8">
        <v>9</v>
      </c>
      <c r="E26" s="1" t="s">
        <v>61</v>
      </c>
      <c r="F26" s="1" t="s">
        <v>86</v>
      </c>
      <c r="G26" t="s">
        <v>95</v>
      </c>
      <c r="H26" s="1" t="s">
        <v>96</v>
      </c>
      <c r="I26" s="1" t="s">
        <v>61</v>
      </c>
      <c r="J26" s="7">
        <v>10</v>
      </c>
      <c r="K26" t="s">
        <v>95</v>
      </c>
      <c r="L26" s="1" t="s">
        <v>61</v>
      </c>
      <c r="M26" s="7">
        <v>10</v>
      </c>
      <c r="N26" t="s">
        <v>95</v>
      </c>
      <c r="O26" t="s">
        <v>95</v>
      </c>
      <c r="P26" t="s">
        <v>112</v>
      </c>
      <c r="Q26" s="1" t="s">
        <v>193</v>
      </c>
      <c r="R26" s="1" t="s">
        <v>202</v>
      </c>
      <c r="S26" s="7">
        <v>10</v>
      </c>
      <c r="T26" s="1" t="s">
        <v>224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60" x14ac:dyDescent="0.25">
      <c r="A27" s="1"/>
      <c r="B27" s="1"/>
      <c r="C27" s="1" t="s">
        <v>37</v>
      </c>
      <c r="D27" s="8">
        <v>10</v>
      </c>
      <c r="E27" s="1" t="s">
        <v>62</v>
      </c>
      <c r="F27" s="1" t="s">
        <v>87</v>
      </c>
      <c r="G27" t="s">
        <v>95</v>
      </c>
      <c r="H27" s="1" t="s">
        <v>113</v>
      </c>
      <c r="I27" s="1" t="s">
        <v>138</v>
      </c>
      <c r="J27" s="7">
        <v>10</v>
      </c>
      <c r="K27" t="s">
        <v>95</v>
      </c>
      <c r="L27" s="1" t="s">
        <v>153</v>
      </c>
      <c r="M27" s="7">
        <v>10</v>
      </c>
      <c r="N27" t="s">
        <v>95</v>
      </c>
      <c r="O27" t="s">
        <v>95</v>
      </c>
      <c r="P27" t="s">
        <v>112</v>
      </c>
      <c r="Q27" s="1" t="s">
        <v>194</v>
      </c>
      <c r="R27" s="1" t="s">
        <v>203</v>
      </c>
      <c r="S27" s="7">
        <v>10</v>
      </c>
      <c r="T27" s="1" t="s">
        <v>225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75" x14ac:dyDescent="0.25">
      <c r="A28" s="1"/>
      <c r="B28" s="1"/>
      <c r="C28" s="1" t="s">
        <v>38</v>
      </c>
      <c r="D28" s="8">
        <v>10</v>
      </c>
      <c r="E28" s="1" t="s">
        <v>63</v>
      </c>
      <c r="F28" s="1" t="s">
        <v>88</v>
      </c>
      <c r="G28" t="s">
        <v>95</v>
      </c>
      <c r="H28" s="1" t="s">
        <v>112</v>
      </c>
      <c r="I28" s="1" t="s">
        <v>139</v>
      </c>
      <c r="J28" s="7">
        <v>10</v>
      </c>
      <c r="K28" t="s">
        <v>95</v>
      </c>
      <c r="L28" s="1" t="s">
        <v>166</v>
      </c>
      <c r="M28" s="7">
        <v>10</v>
      </c>
      <c r="N28" t="s">
        <v>95</v>
      </c>
      <c r="O28" t="s">
        <v>95</v>
      </c>
      <c r="P28" t="s">
        <v>112</v>
      </c>
      <c r="Q28" s="1" t="s">
        <v>195</v>
      </c>
      <c r="R28" s="1" t="s">
        <v>202</v>
      </c>
      <c r="S28" s="7">
        <v>10</v>
      </c>
      <c r="T28" s="1" t="s">
        <v>226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60" x14ac:dyDescent="0.25">
      <c r="A29" s="1"/>
      <c r="B29" s="1"/>
      <c r="C29" s="1" t="s">
        <v>39</v>
      </c>
      <c r="D29" s="8">
        <v>10</v>
      </c>
      <c r="E29" s="1" t="s">
        <v>64</v>
      </c>
      <c r="F29" s="1" t="s">
        <v>89</v>
      </c>
      <c r="G29" t="s">
        <v>95</v>
      </c>
      <c r="H29" s="1" t="s">
        <v>96</v>
      </c>
      <c r="I29" s="1" t="s">
        <v>140</v>
      </c>
      <c r="J29" s="7">
        <v>10</v>
      </c>
      <c r="K29" t="s">
        <v>95</v>
      </c>
      <c r="L29" s="1" t="s">
        <v>140</v>
      </c>
      <c r="M29" s="7">
        <v>10</v>
      </c>
      <c r="N29" t="s">
        <v>95</v>
      </c>
      <c r="O29" t="s">
        <v>95</v>
      </c>
      <c r="P29" t="s">
        <v>112</v>
      </c>
      <c r="Q29" s="1" t="s">
        <v>196</v>
      </c>
      <c r="R29" s="1" t="s">
        <v>202</v>
      </c>
      <c r="S29" s="7">
        <v>10</v>
      </c>
      <c r="T29" s="1" t="s">
        <v>227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60" x14ac:dyDescent="0.25">
      <c r="A30" s="1"/>
      <c r="B30" s="1"/>
      <c r="C30" s="1" t="s">
        <v>32</v>
      </c>
      <c r="D30" s="8">
        <v>10</v>
      </c>
      <c r="E30" s="1" t="s">
        <v>65</v>
      </c>
      <c r="F30" s="1" t="s">
        <v>90</v>
      </c>
      <c r="G30" t="s">
        <v>95</v>
      </c>
      <c r="H30" s="1" t="s">
        <v>104</v>
      </c>
      <c r="I30" s="1" t="s">
        <v>141</v>
      </c>
      <c r="J30" s="7">
        <v>10</v>
      </c>
      <c r="K30" t="s">
        <v>95</v>
      </c>
      <c r="L30" s="1" t="s">
        <v>167</v>
      </c>
      <c r="M30" s="7">
        <v>10</v>
      </c>
      <c r="N30" t="s">
        <v>95</v>
      </c>
      <c r="O30" t="s">
        <v>95</v>
      </c>
      <c r="P30" s="1" t="s">
        <v>172</v>
      </c>
      <c r="Q30" s="1" t="s">
        <v>197</v>
      </c>
      <c r="R30" s="1" t="s">
        <v>202</v>
      </c>
      <c r="S30" s="7">
        <v>10</v>
      </c>
      <c r="T30" s="1" t="s">
        <v>228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75" x14ac:dyDescent="0.25">
      <c r="A31" s="1"/>
      <c r="B31" s="1"/>
      <c r="C31" s="1" t="s">
        <v>29</v>
      </c>
      <c r="D31" s="8">
        <v>8</v>
      </c>
      <c r="E31" s="1" t="s">
        <v>55</v>
      </c>
      <c r="F31" s="1" t="s">
        <v>91</v>
      </c>
      <c r="G31" t="s">
        <v>95</v>
      </c>
      <c r="H31" s="1" t="s">
        <v>114</v>
      </c>
      <c r="I31" s="1" t="s">
        <v>142</v>
      </c>
      <c r="J31" s="7">
        <v>10</v>
      </c>
      <c r="K31" t="s">
        <v>95</v>
      </c>
      <c r="L31" s="1" t="s">
        <v>51</v>
      </c>
      <c r="M31" s="7">
        <v>10</v>
      </c>
      <c r="N31" t="s">
        <v>95</v>
      </c>
      <c r="O31" t="s">
        <v>95</v>
      </c>
      <c r="P31" t="s">
        <v>112</v>
      </c>
      <c r="Q31" s="1" t="s">
        <v>51</v>
      </c>
      <c r="R31" s="1" t="s">
        <v>202</v>
      </c>
      <c r="S31" s="7">
        <v>10</v>
      </c>
      <c r="T31" s="1" t="s">
        <v>51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45" x14ac:dyDescent="0.25">
      <c r="A32" s="1"/>
      <c r="B32" s="1"/>
      <c r="C32" s="1" t="s">
        <v>33</v>
      </c>
      <c r="D32" s="8">
        <v>10</v>
      </c>
      <c r="E32" s="1" t="s">
        <v>42</v>
      </c>
      <c r="F32" s="1" t="s">
        <v>92</v>
      </c>
      <c r="G32" t="s">
        <v>95</v>
      </c>
      <c r="H32" s="1" t="s">
        <v>115</v>
      </c>
      <c r="I32" s="1" t="s">
        <v>143</v>
      </c>
      <c r="J32" s="7">
        <v>10</v>
      </c>
      <c r="K32" t="s">
        <v>95</v>
      </c>
      <c r="L32" s="1" t="s">
        <v>168</v>
      </c>
      <c r="M32" s="7">
        <v>10</v>
      </c>
      <c r="N32" t="s">
        <v>95</v>
      </c>
      <c r="O32" t="s">
        <v>95</v>
      </c>
      <c r="P32" t="s">
        <v>112</v>
      </c>
      <c r="Q32" s="1" t="s">
        <v>168</v>
      </c>
      <c r="R32" s="1" t="s">
        <v>202</v>
      </c>
      <c r="S32" s="7">
        <v>10</v>
      </c>
      <c r="T32" s="1" t="s">
        <v>229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120" x14ac:dyDescent="0.25">
      <c r="A33" s="1"/>
      <c r="B33" s="1"/>
      <c r="C33" s="1" t="s">
        <v>31</v>
      </c>
      <c r="D33" s="8">
        <v>10</v>
      </c>
      <c r="E33" s="1" t="s">
        <v>66</v>
      </c>
      <c r="F33" s="1" t="s">
        <v>93</v>
      </c>
      <c r="G33" t="s">
        <v>95</v>
      </c>
      <c r="H33" s="1" t="s">
        <v>116</v>
      </c>
      <c r="I33" s="1" t="s">
        <v>144</v>
      </c>
      <c r="J33" s="7">
        <v>10</v>
      </c>
      <c r="K33" t="s">
        <v>95</v>
      </c>
      <c r="L33" s="1" t="s">
        <v>169</v>
      </c>
      <c r="M33" s="7">
        <v>10</v>
      </c>
      <c r="N33" t="s">
        <v>95</v>
      </c>
      <c r="O33" t="s">
        <v>95</v>
      </c>
      <c r="P33" t="s">
        <v>112</v>
      </c>
      <c r="Q33" s="1" t="s">
        <v>198</v>
      </c>
      <c r="R33" s="1" t="s">
        <v>202</v>
      </c>
      <c r="S33" s="7">
        <v>10</v>
      </c>
      <c r="T33" s="1" t="s">
        <v>230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210" x14ac:dyDescent="0.25">
      <c r="A34" s="1"/>
      <c r="B34" s="1"/>
      <c r="C34" s="1" t="s">
        <v>39</v>
      </c>
      <c r="D34" s="8">
        <v>10</v>
      </c>
      <c r="E34" s="1" t="s">
        <v>67</v>
      </c>
      <c r="F34" s="1" t="s">
        <v>55</v>
      </c>
      <c r="G34" t="s">
        <v>95</v>
      </c>
      <c r="H34" s="1" t="s">
        <v>117</v>
      </c>
      <c r="I34" s="1" t="s">
        <v>145</v>
      </c>
      <c r="J34" s="7">
        <v>9</v>
      </c>
      <c r="K34" t="s">
        <v>95</v>
      </c>
      <c r="L34" s="1" t="s">
        <v>117</v>
      </c>
      <c r="M34" s="7">
        <v>10</v>
      </c>
      <c r="N34" t="s">
        <v>95</v>
      </c>
      <c r="O34" t="s">
        <v>95</v>
      </c>
      <c r="P34" t="s">
        <v>112</v>
      </c>
      <c r="Q34" s="1" t="s">
        <v>199</v>
      </c>
      <c r="R34" s="1" t="s">
        <v>202</v>
      </c>
      <c r="S34" s="7">
        <v>10</v>
      </c>
      <c r="T34" s="1" t="s">
        <v>231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45" x14ac:dyDescent="0.25">
      <c r="A35" s="1"/>
      <c r="B35" s="1"/>
      <c r="C35" s="1" t="s">
        <v>36</v>
      </c>
      <c r="D35" s="8">
        <v>10</v>
      </c>
      <c r="E35" s="1" t="s">
        <v>68</v>
      </c>
      <c r="F35" s="1" t="s">
        <v>47</v>
      </c>
      <c r="G35" t="s">
        <v>95</v>
      </c>
      <c r="H35" s="1" t="s">
        <v>118</v>
      </c>
      <c r="I35" s="1" t="s">
        <v>51</v>
      </c>
      <c r="J35" s="7">
        <v>10</v>
      </c>
      <c r="K35" t="s">
        <v>95</v>
      </c>
      <c r="L35" s="1" t="s">
        <v>51</v>
      </c>
      <c r="M35" s="7">
        <v>10</v>
      </c>
      <c r="N35" t="s">
        <v>95</v>
      </c>
      <c r="O35" t="s">
        <v>95</v>
      </c>
      <c r="P35" t="s">
        <v>112</v>
      </c>
      <c r="Q35" s="1" t="s">
        <v>51</v>
      </c>
      <c r="R35" s="1" t="s">
        <v>202</v>
      </c>
      <c r="S35" s="7">
        <v>10</v>
      </c>
      <c r="T35" s="1" t="s">
        <v>51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ht="90" x14ac:dyDescent="0.25">
      <c r="A36" s="1"/>
      <c r="B36" s="1"/>
      <c r="C36" s="1" t="s">
        <v>27</v>
      </c>
      <c r="D36" s="8">
        <v>9</v>
      </c>
      <c r="E36" s="1" t="s">
        <v>69</v>
      </c>
      <c r="F36" s="1" t="s">
        <v>94</v>
      </c>
      <c r="G36" t="s">
        <v>95</v>
      </c>
      <c r="H36" s="1" t="s">
        <v>119</v>
      </c>
      <c r="I36" s="1" t="s">
        <v>146</v>
      </c>
      <c r="J36" s="7">
        <v>10</v>
      </c>
      <c r="K36" t="s">
        <v>95</v>
      </c>
      <c r="L36" s="1" t="s">
        <v>170</v>
      </c>
      <c r="M36" s="7">
        <v>10</v>
      </c>
      <c r="N36" t="s">
        <v>95</v>
      </c>
      <c r="O36" t="s">
        <v>95</v>
      </c>
      <c r="P36" t="s">
        <v>112</v>
      </c>
      <c r="Q36" s="1" t="s">
        <v>200</v>
      </c>
      <c r="R36" s="1" t="s">
        <v>201</v>
      </c>
      <c r="S36" s="7">
        <v>10</v>
      </c>
      <c r="T36" s="1" t="s">
        <v>232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C4" sqref="C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9">
        <f>AVERAGE('Исходные данные (итог. анкета)'!D:D)</f>
        <v>9.4</v>
      </c>
      <c r="C4" s="9">
        <f>AVERAGE('Исходные данные (итог. анкета)'!J:J)</f>
        <v>9.6857142857142851</v>
      </c>
      <c r="D4" s="9">
        <f>AVERAGE('Исходные данные (итог. анкета)'!M:M)</f>
        <v>9.6285714285714281</v>
      </c>
      <c r="E4" s="6">
        <f>COUNTIF('Исходные данные (итог. анкета)'!P:P,"нет")/COUNTA('Исходные данные (итог. анкета)'!P2:P500)</f>
        <v>0.94285714285714284</v>
      </c>
      <c r="F4" s="9">
        <f>AVERAGE('Исходные данные (итог. анкета)'!S:S)</f>
        <v>9.7142857142857135</v>
      </c>
      <c r="G4" s="9">
        <f>AVERAGE(B4:D4,F4)</f>
        <v>9.6071428571428577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2026-07-01T10:31:13Z</dcterms:modified>
</cp:coreProperties>
</file>