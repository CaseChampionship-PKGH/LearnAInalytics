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<sst xmlns="http://schemas.openxmlformats.org/spreadsheetml/2006/main" count="233" uniqueCount="87">
  <si>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</si>
  <si>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</si>
  <si>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</si>
  <si>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</si>
  <si>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</si>
  <si>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</si>
  <si>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</si>
  <si>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</si>
  <si>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</si>
  <si>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</si>
  <si>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</si>
  <si>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</si>
  <si>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</si>
  <si>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</si>
  <si>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</si>
  <si>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</si>
  <si>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</si>
  <si>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</si>
  <si>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</si>
  <si>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</si>
  <si>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</si>
  <si>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</si>
  <si>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</si>
  <si>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</si>
  <si>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</si>
  <si>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</si>
  <si>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</si>
  <si>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</si>
  <si>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</si>
  <si>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</si>
  <si>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</si>
  <si>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</si>
  <si>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</si>
  <si>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</si>
  <si>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В целях повышения квалификации</t>
  </si>
  <si>
    <t>Государство как акционер</t>
  </si>
  <si>
    <t>Полученные</t>
  </si>
  <si>
    <t>да</t>
  </si>
  <si>
    <t>-</t>
  </si>
  <si>
    <t>нет</t>
  </si>
  <si>
    <t>очное обучение в аудиториях Корпоративного университета</t>
  </si>
  <si>
    <t>Без комментариев</t>
  </si>
  <si>
    <t>руководитель</t>
  </si>
  <si>
    <t>требуется в работе</t>
  </si>
  <si>
    <t>вопросы финансового управления</t>
  </si>
  <si>
    <t>расчеты показателей</t>
  </si>
  <si>
    <t>достигнут</t>
  </si>
  <si>
    <t>таких нет</t>
  </si>
  <si>
    <t>смешанное обучение: частично очно, частично дистанционно</t>
  </si>
  <si>
    <t>Участие в советах директоров обществ</t>
  </si>
  <si>
    <t>общие принципы управления обществами</t>
  </si>
  <si>
    <t>Регулярное повышение квалификации</t>
  </si>
  <si>
    <t>Вопросы устройства и правильной работы совета директоров были наиболее актуальными на данном курсе.</t>
  </si>
  <si>
    <t>Лучшее понимание устройства корпоративного управления и законодательства в сфере акционерных обществ.</t>
  </si>
  <si>
    <t>Более глубокое изучение формул (финансовых)</t>
  </si>
  <si>
    <t>Реальными примерами работы или отчетов о деятельности Обществ, осуществляющих деятельность в СПб (например: Метрополитен, ЖКС-2 Московского района, Теплосеть)</t>
  </si>
  <si>
    <t>Практические примеры данных из существующих предприятий в СПб или Лен.Области</t>
  </si>
  <si>
    <t>Всегда все правильно и точно по времени.</t>
  </si>
  <si>
    <t>По специфике своей деятельности принимаю участие в рассмотрение вопросов, выносимых на заседание совета директоров и общего собрания акционеров. Осуществляю анализ материалов и подготовку заключений для председателя совета директоров и председателя общего собрания (председателя комитета).</t>
  </si>
  <si>
    <t>Анализ финансово-хозяйственной деятельности акционерных обществ, поскольку сложно анализировать финансовые результаты не имея на то экономического образования.</t>
  </si>
  <si>
    <t>Финансовый анализ обществ, организация работы совета директоров.</t>
  </si>
  <si>
    <t>Думаю, что исключать ничего не нужно, но можно пересмотреть нагрузку. Создалось впечатление, что темы часто пересекаются и преподаватели говорят об одном и том же.</t>
  </si>
  <si>
    <t>Нет предложений</t>
  </si>
  <si>
    <t>Темы последовательны, но кажется, что есть элемент дублирования тем</t>
  </si>
  <si>
    <t>Куратор отзывчивый, всегда в хорошем настроении.</t>
  </si>
  <si>
    <t>Закрепление имеющихся знаний</t>
  </si>
  <si>
    <t>финансовый менеджмент</t>
  </si>
  <si>
    <t>Практически все</t>
  </si>
  <si>
    <t>Все было супер!</t>
  </si>
  <si>
    <t>необходимость в работе</t>
  </si>
  <si>
    <t>состою в ревизионной комиссии</t>
  </si>
  <si>
    <t>все темы актуальны</t>
  </si>
  <si>
    <t>многие</t>
  </si>
  <si>
    <t>входить в состав совета директоров</t>
  </si>
  <si>
    <t>Получить новые знания</t>
  </si>
  <si>
    <t>все темы</t>
  </si>
  <si>
    <t>система управления</t>
  </si>
  <si>
    <t>получены новые знания</t>
  </si>
  <si>
    <t>Тема данного курса напрямую связана с моей основной деятельностью</t>
  </si>
  <si>
    <t>Вопросы, связанные с финансовым менеджментом и планированием, так как этим я непосредственно занимаюсь на своей работе каждый день.</t>
  </si>
  <si>
    <t>Абсолютно все знания, полученные в ходе освоения данной программы, мне понадобятся в своей деятельности.</t>
  </si>
  <si>
    <t>Я бы не стала ничего исключать</t>
  </si>
  <si>
    <t>Дать больше часов для освоения вопросов, касающихся бухгалтерского учета и ФХД.</t>
  </si>
  <si>
    <t>Хотелось бы больше примеров и кейсов по финансовому менеджменту и планированию</t>
  </si>
  <si>
    <t>Ничего не меняла бы, просто добавила бы больше практики</t>
  </si>
  <si>
    <t>Я была вовлечена в обучение на 100%</t>
  </si>
  <si>
    <t>Мне всё понравилось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</si>
</sst>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11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60" x14ac:dyDescent="0.25">
      <c r="A2" s="9"/>
      <c r="B2" s="10"/>
      <c r="C2" s="10" t="s">
        <v>33</v>
      </c>
      <c r="D2" s="10" t="s">
        <v>34</v>
      </c>
      <c r="E2" s="11">
        <v>8</v>
      </c>
      <c r="F2" s="10" t="s">
        <v>35</v>
      </c>
      <c r="G2" s="10" t="s">
        <v>36</v>
      </c>
      <c r="H2" s="10" t="s">
        <v>37</v>
      </c>
      <c r="I2" s="10" t="s">
        <v>38</v>
      </c>
      <c r="J2" s="10" t="s">
        <v>38</v>
      </c>
      <c r="K2" s="10" t="s">
        <v>38</v>
      </c>
      <c r="L2" s="11">
        <v>8</v>
      </c>
      <c r="M2" s="10" t="s">
        <v>37</v>
      </c>
      <c r="N2" s="10" t="s">
        <v>38</v>
      </c>
      <c r="O2" s="10" t="s">
        <v>38</v>
      </c>
      <c r="P2" s="11">
        <v>8</v>
      </c>
      <c r="Q2" s="10" t="s">
        <v>37</v>
      </c>
      <c r="R2" s="10" t="s">
        <v>38</v>
      </c>
      <c r="S2" s="10" t="s">
        <v>37</v>
      </c>
      <c r="T2" s="10" t="s">
        <v>38</v>
      </c>
      <c r="U2" s="10" t="s">
        <v>39</v>
      </c>
      <c r="V2" s="10" t="s">
        <v>38</v>
      </c>
      <c r="W2" s="10" t="s">
        <v>38</v>
      </c>
      <c r="X2" s="10" t="s">
        <v>40</v>
      </c>
      <c r="Y2" s="11">
        <v>10</v>
      </c>
      <c r="Z2" s="10" t="s">
        <v>41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45" x14ac:dyDescent="0.25">
      <c r="A3" s="9"/>
      <c r="B3" s="10"/>
      <c r="C3" s="10" t="s">
        <v>42</v>
      </c>
      <c r="D3" s="10" t="s">
        <v>43</v>
      </c>
      <c r="E3" s="11">
        <v>9</v>
      </c>
      <c r="F3" s="10" t="s">
        <v>44</v>
      </c>
      <c r="G3" s="10" t="s">
        <v>45</v>
      </c>
      <c r="H3" s="10" t="s">
        <v>37</v>
      </c>
      <c r="I3" s="10" t="s">
        <v>46</v>
      </c>
      <c r="J3" s="10" t="s">
        <v>47</v>
      </c>
      <c r="K3" s="10" t="s">
        <v>38</v>
      </c>
      <c r="L3" s="11">
        <v>8</v>
      </c>
      <c r="M3" s="10" t="s">
        <v>37</v>
      </c>
      <c r="N3" s="10" t="s">
        <v>38</v>
      </c>
      <c r="O3" s="10" t="s">
        <v>38</v>
      </c>
      <c r="P3" s="11">
        <v>8</v>
      </c>
      <c r="Q3" s="10" t="s">
        <v>37</v>
      </c>
      <c r="R3" s="10" t="s">
        <v>38</v>
      </c>
      <c r="S3" s="10" t="s">
        <v>37</v>
      </c>
      <c r="T3" s="10" t="s">
        <v>38</v>
      </c>
      <c r="U3" s="10" t="s">
        <v>39</v>
      </c>
      <c r="V3" s="10" t="s">
        <v>38</v>
      </c>
      <c r="W3" s="10" t="s">
        <v>38</v>
      </c>
      <c r="X3" s="10" t="s">
        <v>48</v>
      </c>
      <c r="Y3" s="11">
        <v>8</v>
      </c>
      <c r="Z3" s="10" t="s">
        <v>38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0" x14ac:dyDescent="0.25">
      <c r="A4" s="9"/>
      <c r="B4" s="10"/>
      <c r="C4" s="10" t="s">
        <v>42</v>
      </c>
      <c r="D4" s="10" t="s">
        <v>49</v>
      </c>
      <c r="E4" s="11">
        <v>8</v>
      </c>
      <c r="F4" s="10" t="s">
        <v>38</v>
      </c>
      <c r="G4" s="10" t="s">
        <v>50</v>
      </c>
      <c r="H4" s="10" t="s">
        <v>37</v>
      </c>
      <c r="I4" s="10" t="s">
        <v>38</v>
      </c>
      <c r="J4" s="10" t="s">
        <v>38</v>
      </c>
      <c r="K4" s="10" t="s">
        <v>38</v>
      </c>
      <c r="L4" s="11">
        <v>10</v>
      </c>
      <c r="M4" s="10" t="s">
        <v>37</v>
      </c>
      <c r="N4" s="10" t="s">
        <v>38</v>
      </c>
      <c r="O4" s="10" t="s">
        <v>38</v>
      </c>
      <c r="P4" s="11">
        <v>9</v>
      </c>
      <c r="Q4" s="10" t="s">
        <v>37</v>
      </c>
      <c r="R4" s="10" t="s">
        <v>38</v>
      </c>
      <c r="S4" s="10" t="s">
        <v>37</v>
      </c>
      <c r="T4" s="10" t="s">
        <v>38</v>
      </c>
      <c r="U4" s="10" t="s">
        <v>39</v>
      </c>
      <c r="V4" s="10" t="s">
        <v>38</v>
      </c>
      <c r="W4" s="10" t="s">
        <v>38</v>
      </c>
      <c r="X4" s="10" t="s">
        <v>40</v>
      </c>
      <c r="Y4" s="11">
        <v>10</v>
      </c>
      <c r="Z4" s="10" t="s">
        <v>38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135" x14ac:dyDescent="0.25">
      <c r="A5" s="9"/>
      <c r="B5" s="10"/>
      <c r="C5" s="10" t="s">
        <v>42</v>
      </c>
      <c r="D5" s="10" t="s">
        <v>51</v>
      </c>
      <c r="E5" s="11">
        <v>8</v>
      </c>
      <c r="F5" s="10" t="s">
        <v>52</v>
      </c>
      <c r="G5" s="10" t="s">
        <v>53</v>
      </c>
      <c r="H5" s="10" t="s">
        <v>37</v>
      </c>
      <c r="I5" s="10" t="s">
        <v>38</v>
      </c>
      <c r="J5" s="10" t="s">
        <v>54</v>
      </c>
      <c r="K5" s="10" t="s">
        <v>55</v>
      </c>
      <c r="L5" s="11">
        <v>8</v>
      </c>
      <c r="M5" s="10" t="s">
        <v>37</v>
      </c>
      <c r="N5" s="10" t="s">
        <v>38</v>
      </c>
      <c r="O5" s="10" t="s">
        <v>38</v>
      </c>
      <c r="P5" s="11">
        <v>8</v>
      </c>
      <c r="Q5" s="10" t="s">
        <v>37</v>
      </c>
      <c r="R5" s="10" t="s">
        <v>38</v>
      </c>
      <c r="S5" s="10" t="s">
        <v>37</v>
      </c>
      <c r="T5" s="10" t="s">
        <v>38</v>
      </c>
      <c r="U5" s="10" t="s">
        <v>39</v>
      </c>
      <c r="V5" s="10" t="s">
        <v>38</v>
      </c>
      <c r="W5" s="10" t="s">
        <v>56</v>
      </c>
      <c r="X5" s="10" t="s">
        <v>40</v>
      </c>
      <c r="Y5" s="11">
        <v>10</v>
      </c>
      <c r="Z5" s="10" t="s">
        <v>57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270" x14ac:dyDescent="0.25">
      <c r="A6" s="9"/>
      <c r="B6" s="10"/>
      <c r="C6" s="10" t="s">
        <v>33</v>
      </c>
      <c r="D6" s="10" t="s">
        <v>58</v>
      </c>
      <c r="E6" s="11">
        <v>10</v>
      </c>
      <c r="F6" s="10" t="s">
        <v>59</v>
      </c>
      <c r="G6" s="10" t="s">
        <v>60</v>
      </c>
      <c r="H6" s="10" t="s">
        <v>37</v>
      </c>
      <c r="I6" s="10" t="s">
        <v>38</v>
      </c>
      <c r="J6" s="10" t="s">
        <v>61</v>
      </c>
      <c r="K6" s="10" t="s">
        <v>62</v>
      </c>
      <c r="L6" s="11">
        <v>6</v>
      </c>
      <c r="M6" s="10" t="s">
        <v>37</v>
      </c>
      <c r="N6" s="10" t="s">
        <v>38</v>
      </c>
      <c r="O6" s="10" t="s">
        <v>62</v>
      </c>
      <c r="P6" s="11">
        <v>8</v>
      </c>
      <c r="Q6" s="10" t="s">
        <v>37</v>
      </c>
      <c r="R6" s="10" t="s">
        <v>63</v>
      </c>
      <c r="S6" s="10" t="s">
        <v>37</v>
      </c>
      <c r="T6" s="10" t="s">
        <v>38</v>
      </c>
      <c r="U6" s="10" t="s">
        <v>39</v>
      </c>
      <c r="V6" s="10" t="s">
        <v>38</v>
      </c>
      <c r="W6" s="10" t="s">
        <v>62</v>
      </c>
      <c r="X6" s="10" t="s">
        <v>48</v>
      </c>
      <c r="Y6" s="11">
        <v>10</v>
      </c>
      <c r="Z6" s="10" t="s">
        <v>64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9"/>
      <c r="B7" s="10"/>
      <c r="C7" s="10" t="s">
        <v>42</v>
      </c>
      <c r="D7" s="10" t="s">
        <v>65</v>
      </c>
      <c r="E7" s="11">
        <v>10</v>
      </c>
      <c r="F7" s="10" t="s">
        <v>66</v>
      </c>
      <c r="G7" s="10" t="s">
        <v>67</v>
      </c>
      <c r="H7" s="10" t="s">
        <v>37</v>
      </c>
      <c r="I7" s="10" t="s">
        <v>38</v>
      </c>
      <c r="J7" s="10" t="s">
        <v>38</v>
      </c>
      <c r="K7" s="10" t="s">
        <v>38</v>
      </c>
      <c r="L7" s="11">
        <v>10</v>
      </c>
      <c r="M7" s="10" t="s">
        <v>37</v>
      </c>
      <c r="N7" s="10" t="s">
        <v>38</v>
      </c>
      <c r="O7" s="10" t="s">
        <v>38</v>
      </c>
      <c r="P7" s="11">
        <v>10</v>
      </c>
      <c r="Q7" s="10" t="s">
        <v>37</v>
      </c>
      <c r="R7" s="10" t="s">
        <v>38</v>
      </c>
      <c r="S7" s="10" t="s">
        <v>37</v>
      </c>
      <c r="T7" s="10" t="s">
        <v>38</v>
      </c>
      <c r="U7" s="10" t="s">
        <v>39</v>
      </c>
      <c r="V7" s="10" t="s">
        <v>38</v>
      </c>
      <c r="W7" s="10" t="s">
        <v>38</v>
      </c>
      <c r="X7" s="10" t="s">
        <v>40</v>
      </c>
      <c r="Y7" s="11">
        <v>10</v>
      </c>
      <c r="Z7" s="10" t="s">
        <v>68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60" x14ac:dyDescent="0.25">
      <c r="A8" s="9"/>
      <c r="B8" s="10"/>
      <c r="C8" s="10" t="s">
        <v>33</v>
      </c>
      <c r="D8" s="10" t="s">
        <v>69</v>
      </c>
      <c r="E8" s="11">
        <v>10</v>
      </c>
      <c r="F8" s="10" t="s">
        <v>38</v>
      </c>
      <c r="G8" s="10" t="s">
        <v>38</v>
      </c>
      <c r="H8" s="10" t="s">
        <v>37</v>
      </c>
      <c r="I8" s="10" t="s">
        <v>38</v>
      </c>
      <c r="J8" s="10" t="s">
        <v>38</v>
      </c>
      <c r="K8" s="10" t="s">
        <v>38</v>
      </c>
      <c r="L8" s="11">
        <v>8</v>
      </c>
      <c r="M8" s="10" t="s">
        <v>37</v>
      </c>
      <c r="N8" s="10" t="s">
        <v>38</v>
      </c>
      <c r="O8" s="10" t="s">
        <v>38</v>
      </c>
      <c r="P8" s="11">
        <v>8</v>
      </c>
      <c r="Q8" s="10" t="s">
        <v>37</v>
      </c>
      <c r="R8" s="10" t="s">
        <v>38</v>
      </c>
      <c r="S8" s="10" t="s">
        <v>37</v>
      </c>
      <c r="T8" s="10" t="s">
        <v>38</v>
      </c>
      <c r="U8" s="10" t="s">
        <v>39</v>
      </c>
      <c r="V8" s="10" t="s">
        <v>38</v>
      </c>
      <c r="W8" s="10" t="s">
        <v>38</v>
      </c>
      <c r="X8" s="10" t="s">
        <v>40</v>
      </c>
      <c r="Y8" s="11">
        <v>10</v>
      </c>
      <c r="Z8" s="10" t="s">
        <v>38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60" x14ac:dyDescent="0.25">
      <c r="A9" s="9"/>
      <c r="B9" s="10"/>
      <c r="C9" s="10" t="s">
        <v>33</v>
      </c>
      <c r="D9" s="10" t="s">
        <v>70</v>
      </c>
      <c r="E9" s="11">
        <v>10</v>
      </c>
      <c r="F9" s="10" t="s">
        <v>71</v>
      </c>
      <c r="G9" s="10" t="s">
        <v>72</v>
      </c>
      <c r="H9" s="10" t="s">
        <v>37</v>
      </c>
      <c r="I9" s="10" t="s">
        <v>38</v>
      </c>
      <c r="J9" s="10" t="s">
        <v>38</v>
      </c>
      <c r="K9" s="10" t="s">
        <v>38</v>
      </c>
      <c r="L9" s="11">
        <v>10</v>
      </c>
      <c r="M9" s="10" t="s">
        <v>37</v>
      </c>
      <c r="N9" s="10" t="s">
        <v>38</v>
      </c>
      <c r="O9" s="10" t="s">
        <v>38</v>
      </c>
      <c r="P9" s="11">
        <v>10</v>
      </c>
      <c r="Q9" s="10" t="s">
        <v>37</v>
      </c>
      <c r="R9" s="10" t="s">
        <v>38</v>
      </c>
      <c r="S9" s="10" t="s">
        <v>37</v>
      </c>
      <c r="T9" s="10" t="s">
        <v>38</v>
      </c>
      <c r="U9" s="10" t="s">
        <v>39</v>
      </c>
      <c r="V9" s="10" t="s">
        <v>38</v>
      </c>
      <c r="W9" s="10" t="s">
        <v>73</v>
      </c>
      <c r="X9" s="10" t="s">
        <v>40</v>
      </c>
      <c r="Y9" s="11">
        <v>10</v>
      </c>
      <c r="Z9" s="10" t="s">
        <v>38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45" x14ac:dyDescent="0.25">
      <c r="A10" s="9"/>
      <c r="B10" s="10"/>
      <c r="C10" s="10" t="s">
        <v>42</v>
      </c>
      <c r="D10" s="10" t="s">
        <v>74</v>
      </c>
      <c r="E10" s="11">
        <v>5</v>
      </c>
      <c r="F10" s="10" t="s">
        <v>75</v>
      </c>
      <c r="G10" s="10" t="s">
        <v>76</v>
      </c>
      <c r="H10" s="10" t="s">
        <v>37</v>
      </c>
      <c r="I10" s="10" t="s">
        <v>38</v>
      </c>
      <c r="J10" s="10" t="s">
        <v>38</v>
      </c>
      <c r="K10" s="10" t="s">
        <v>38</v>
      </c>
      <c r="L10" s="11">
        <v>10</v>
      </c>
      <c r="M10" s="10" t="s">
        <v>37</v>
      </c>
      <c r="N10" s="10" t="s">
        <v>38</v>
      </c>
      <c r="O10" s="10" t="s">
        <v>38</v>
      </c>
      <c r="P10" s="11">
        <v>5</v>
      </c>
      <c r="Q10" s="10" t="s">
        <v>37</v>
      </c>
      <c r="R10" s="10" t="s">
        <v>38</v>
      </c>
      <c r="S10" s="10" t="s">
        <v>37</v>
      </c>
      <c r="T10" s="10" t="s">
        <v>38</v>
      </c>
      <c r="U10" s="10" t="s">
        <v>39</v>
      </c>
      <c r="V10" s="10" t="s">
        <v>38</v>
      </c>
      <c r="W10" s="10" t="s">
        <v>38</v>
      </c>
      <c r="X10" s="10" t="s">
        <v>48</v>
      </c>
      <c r="Y10" s="11">
        <v>10</v>
      </c>
      <c r="Z10" s="10" t="s">
        <v>77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05" x14ac:dyDescent="0.25">
      <c r="A11" s="9"/>
      <c r="B11" s="10"/>
      <c r="C11" s="10" t="s">
        <v>33</v>
      </c>
      <c r="D11" s="10" t="s">
        <v>78</v>
      </c>
      <c r="E11" s="11">
        <v>10</v>
      </c>
      <c r="F11" s="10" t="s">
        <v>79</v>
      </c>
      <c r="G11" s="10" t="s">
        <v>80</v>
      </c>
      <c r="H11" s="10" t="s">
        <v>37</v>
      </c>
      <c r="I11" s="10" t="s">
        <v>38</v>
      </c>
      <c r="J11" s="10" t="s">
        <v>81</v>
      </c>
      <c r="K11" s="10" t="s">
        <v>82</v>
      </c>
      <c r="L11" s="11">
        <v>8</v>
      </c>
      <c r="M11" s="10" t="s">
        <v>39</v>
      </c>
      <c r="N11" s="10" t="s">
        <v>83</v>
      </c>
      <c r="O11" s="10" t="s">
        <v>84</v>
      </c>
      <c r="P11" s="11">
        <v>10</v>
      </c>
      <c r="Q11" s="10" t="s">
        <v>37</v>
      </c>
      <c r="R11" s="10" t="s">
        <v>38</v>
      </c>
      <c r="S11" s="10" t="s">
        <v>37</v>
      </c>
      <c r="T11" s="10" t="s">
        <v>38</v>
      </c>
      <c r="U11" s="10" t="s">
        <v>39</v>
      </c>
      <c r="V11" s="10" t="s">
        <v>38</v>
      </c>
      <c r="W11" s="10" t="s">
        <v>85</v>
      </c>
      <c r="X11" s="10" t="s">
        <v>40</v>
      </c>
      <c r="Y11" s="11">
        <v>10</v>
      </c>
      <c r="Z11" s="10" t="s">
        <v>86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x14ac:dyDescent="0.25">
      <c r="A12" s="1"/>
      <c r="B12" s="1"/>
      <c r="C12" s="1"/>
      <c r="D12" s="1"/>
      <c r="F12" s="1"/>
      <c r="G12" s="1"/>
      <c r="H12" s="1"/>
      <c r="I12" s="1"/>
      <c r="J12" s="1"/>
      <c r="K12" s="1"/>
      <c r="M12" s="1"/>
      <c r="N12" s="1"/>
      <c r="O12" s="1"/>
      <c r="Q12" s="1"/>
      <c r="R12" s="1"/>
      <c r="S12" s="1"/>
      <c r="T12" s="1"/>
      <c r="U12" s="1"/>
      <c r="V12" s="1"/>
      <c r="W12" s="1"/>
      <c r="X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x14ac:dyDescent="0.25">
      <c r="A13" s="1"/>
      <c r="B13" s="1"/>
      <c r="C13" s="1"/>
      <c r="D13" s="1"/>
      <c r="F13" s="1"/>
      <c r="G13" s="1"/>
      <c r="H13" s="1"/>
      <c r="I13" s="1"/>
      <c r="J13" s="1"/>
      <c r="K13" s="1"/>
      <c r="M13" s="1"/>
      <c r="N13" s="1"/>
      <c r="O13" s="1"/>
      <c r="Q13" s="1"/>
      <c r="R13" s="1"/>
      <c r="S13" s="1"/>
      <c r="T13" s="1"/>
      <c r="U13" s="1"/>
      <c r="V13" s="1"/>
      <c r="W13" s="1"/>
      <c r="X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x14ac:dyDescent="0.25">
      <c r="A14" s="1"/>
      <c r="B14" s="1"/>
      <c r="C14" s="1"/>
      <c r="D14" s="1"/>
      <c r="F14" s="1"/>
      <c r="G14" s="1"/>
      <c r="H14" s="1"/>
      <c r="I14" s="1"/>
      <c r="J14" s="1"/>
      <c r="K14" s="1"/>
      <c r="M14" s="1"/>
      <c r="N14" s="1"/>
      <c r="O14" s="1"/>
      <c r="Q14" s="1"/>
      <c r="R14" s="1"/>
      <c r="S14" s="1"/>
      <c r="T14" s="1"/>
      <c r="U14" s="1"/>
      <c r="V14" s="1"/>
      <c r="W14" s="1"/>
      <c r="X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x14ac:dyDescent="0.25">
      <c r="A15" s="1"/>
      <c r="B15" s="1"/>
      <c r="C15" s="1"/>
      <c r="D15" s="1"/>
      <c r="F15" s="1"/>
      <c r="G15" s="1"/>
      <c r="H15" s="1"/>
      <c r="I15" s="1"/>
      <c r="J15" s="1"/>
      <c r="K15" s="1"/>
      <c r="M15" s="1"/>
      <c r="N15" s="1"/>
      <c r="O15" s="1"/>
      <c r="Q15" s="1"/>
      <c r="R15" s="1"/>
      <c r="S15" s="1"/>
      <c r="T15" s="1"/>
      <c r="U15" s="1"/>
      <c r="V15" s="1"/>
      <c r="W15" s="1"/>
      <c r="X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x14ac:dyDescent="0.25">
      <c r="A16" s="1"/>
      <c r="B16" s="1"/>
      <c r="C16" s="1"/>
      <c r="D16" s="1"/>
      <c r="F16" s="1"/>
      <c r="G16" s="1"/>
      <c r="H16" s="1"/>
      <c r="I16" s="1"/>
      <c r="J16" s="1"/>
      <c r="K16" s="1"/>
      <c r="M16" s="1"/>
      <c r="N16" s="1"/>
      <c r="O16" s="1"/>
      <c r="Q16" s="1"/>
      <c r="R16" s="1"/>
      <c r="S16" s="1"/>
      <c r="T16" s="1"/>
      <c r="U16" s="1"/>
      <c r="V16" s="1"/>
      <c r="W16" s="1"/>
      <c r="X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x14ac:dyDescent="0.25">
      <c r="A17" s="1"/>
      <c r="B17" s="1"/>
      <c r="C17" s="1"/>
      <c r="D17" s="1"/>
      <c r="F17" s="1"/>
      <c r="G17" s="1"/>
      <c r="H17" s="1"/>
      <c r="I17" s="1"/>
      <c r="J17" s="1"/>
      <c r="K17" s="1"/>
      <c r="N17" s="1"/>
      <c r="O17" s="1"/>
      <c r="R17" s="1"/>
      <c r="T17" s="1"/>
      <c r="V17" s="1"/>
      <c r="W17" s="1"/>
      <c r="X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x14ac:dyDescent="0.25">
      <c r="A18" s="1"/>
      <c r="B18" s="1"/>
      <c r="C18" s="1"/>
      <c r="D18" s="1"/>
      <c r="F18" s="1"/>
      <c r="G18" s="1"/>
      <c r="H18" s="1"/>
      <c r="I18" s="1"/>
      <c r="J18" s="1"/>
      <c r="K18" s="1"/>
      <c r="N18" s="1"/>
      <c r="O18" s="1"/>
      <c r="R18" s="1"/>
      <c r="T18" s="1"/>
      <c r="V18" s="1"/>
      <c r="W18" s="1"/>
      <c r="X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25">
      <c r="A19" s="1"/>
      <c r="B19" s="1"/>
      <c r="C19" s="1"/>
      <c r="D19" s="1"/>
      <c r="F19" s="1"/>
      <c r="G19" s="1"/>
      <c r="H19" s="1"/>
      <c r="I19" s="1"/>
      <c r="J19" s="1"/>
      <c r="K19" s="1"/>
      <c r="N19" s="1"/>
      <c r="O19" s="1"/>
      <c r="R19" s="1"/>
      <c r="T19" s="1"/>
      <c r="V19" s="1"/>
      <c r="W19" s="1"/>
      <c r="X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x14ac:dyDescent="0.25">
      <c r="A20" s="1"/>
      <c r="B20" s="1"/>
      <c r="C20" s="1"/>
      <c r="D20" s="1"/>
      <c r="F20" s="1"/>
      <c r="G20" s="1"/>
      <c r="H20" s="1"/>
      <c r="I20" s="1"/>
      <c r="J20" s="1"/>
      <c r="K20" s="1"/>
      <c r="N20" s="1"/>
      <c r="O20" s="1"/>
      <c r="R20" s="1"/>
      <c r="T20" s="1"/>
      <c r="V20" s="1"/>
      <c r="W20" s="1"/>
      <c r="X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25">
      <c r="A21" s="1"/>
      <c r="B21" s="1"/>
      <c r="C21" s="1"/>
      <c r="D21" s="1"/>
      <c r="F21" s="1"/>
      <c r="G21" s="1"/>
      <c r="H21" s="1"/>
      <c r="I21" s="1"/>
      <c r="J21" s="1"/>
      <c r="K21" s="1"/>
      <c r="N21" s="1"/>
      <c r="O21" s="1"/>
      <c r="R21" s="1"/>
      <c r="T21" s="1"/>
      <c r="V21" s="1"/>
      <c r="W21" s="1"/>
      <c r="X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F22" s="1"/>
      <c r="G22" s="1"/>
      <c r="H22" s="1"/>
      <c r="I22" s="1"/>
      <c r="J22" s="1"/>
      <c r="K22" s="1"/>
      <c r="N22" s="1"/>
      <c r="O22" s="1"/>
      <c r="R22" s="1"/>
      <c r="T22" s="1"/>
      <c r="V22" s="1"/>
      <c r="W22" s="1"/>
      <c r="X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F23" s="1"/>
      <c r="G23" s="1"/>
      <c r="H23" s="1"/>
      <c r="I23" s="1"/>
      <c r="J23" s="1"/>
      <c r="K23" s="1"/>
      <c r="N23" s="1"/>
      <c r="O23" s="1"/>
      <c r="R23" s="1"/>
      <c r="T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F24" s="1"/>
      <c r="G24" s="1"/>
      <c r="H24" s="1"/>
      <c r="I24" s="1"/>
      <c r="J24" s="1"/>
      <c r="K24" s="1"/>
      <c r="N24" s="1"/>
      <c r="O24" s="1"/>
      <c r="R24" s="1"/>
      <c r="T24" s="1"/>
      <c r="V24" s="1"/>
      <c r="W24" s="1"/>
      <c r="X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8.8000000000000007</v>
      </c>
      <c r="C4" s="8">
        <f>AVERAGE('Исходные данные (итог. анкета)'!L:L)</f>
        <v>8.6</v>
      </c>
      <c r="D4" s="8">
        <f>AVERAGE('Исходные данные (итог. анкета)'!P:P)</f>
        <v>8.4</v>
      </c>
      <c r="E4" s="7">
        <f>COUNTIF('Исходные данные (итог. анкета)'!U:U,"нет")/COUNTA('Исходные данные (итог. анкета)'!U2:U499)</f>
        <v>1</v>
      </c>
      <c r="F4" s="8">
        <f>AVERAGE('Исходные данные (итог. анкета)'!Y:Y)</f>
        <v>9.8000000000000007</v>
      </c>
      <c r="G4" s="4">
        <f>AVERAGE(B4:D4,F4)</f>
        <v>8.8999999999999986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2026-07-01T10:19:08Z</dcterms:modified>
</cp:coreProperties>
</file>