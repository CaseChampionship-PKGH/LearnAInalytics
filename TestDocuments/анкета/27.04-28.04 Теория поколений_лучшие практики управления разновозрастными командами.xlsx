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<sst xmlns="http://schemas.openxmlformats.org/spreadsheetml/2006/main" count="293" uniqueCount="135">
  <si>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</si>
  <si>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</si>
  <si>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</si>
  <si>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</si>
  <si>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</si>
  <si>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</si>
  <si>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</si>
  <si>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</si>
  <si>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</si>
  <si>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</si>
  <si>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</si>
  <si>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</si>
  <si>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</si>
  <si>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</si>
  <si>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</si>
  <si>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</si>
  <si>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</si>
  <si>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</si>
  <si>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</si>
  <si>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</si>
  <si>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</si>
  <si>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</si>
  <si>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</si>
  <si>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</si>
  <si>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</si>
  <si>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</si>
  <si>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</si>
  <si>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</si>
  <si>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</si>
  <si>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</si>
  <si>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</si>
  <si>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</si>
  <si>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</si>
  <si>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</si>
  <si>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Повышение навыков работы с коллективом</t>
  </si>
  <si>
    <t>Актуально для состава отдела</t>
  </si>
  <si>
    <t>Актуальная и интересная тема</t>
  </si>
  <si>
    <t>Мне очень интересна эта тема, так как в коллективе имеются разновозрастные сотрудники и необходимо поддерживать здоровый климат в коллективе исходя из интересов всех сотрудников</t>
  </si>
  <si>
    <t>Заинтересовала тема</t>
  </si>
  <si>
    <t>Интересна тема</t>
  </si>
  <si>
    <t>Тема интересная и актуальная</t>
  </si>
  <si>
    <t>В отделе есть сотрудники разных возрастов</t>
  </si>
  <si>
    <t>тема актуальна и необходима в повседневной работе</t>
  </si>
  <si>
    <t>данная тема очень интересна и необходима в работе</t>
  </si>
  <si>
    <t>специалист</t>
  </si>
  <si>
    <t>интересная тема</t>
  </si>
  <si>
    <t>По графику</t>
  </si>
  <si>
    <t>интересная тема для моей профессиональной деятельности</t>
  </si>
  <si>
    <t>Вопросы мотивации разных поколений. Нужно понимать что движет человеком в его повседневной деятельности</t>
  </si>
  <si>
    <t>вся программа может быть применена в той  или иной ситуации</t>
  </si>
  <si>
    <t>да</t>
  </si>
  <si>
    <t>-------</t>
  </si>
  <si>
    <t>нет такой темы</t>
  </si>
  <si>
    <t>программа достаточна, и лишнего в ней нет</t>
  </si>
  <si>
    <t>пожеланий нет</t>
  </si>
  <si>
    <t>разрешение конфликтов мотивация сотрудников, подход к разным возрастам, т.к. часто встречаются</t>
  </si>
  <si>
    <t>разрешение конфликтов мотивация сотрудников, подход к разным возрастам</t>
  </si>
  <si>
    <t>-</t>
  </si>
  <si>
    <t>все актуально</t>
  </si>
  <si>
    <t>более подробно раскрыть основные моменты</t>
  </si>
  <si>
    <t>все хорошо</t>
  </si>
  <si>
    <t>Система мотивации для разных групп специалистов</t>
  </si>
  <si>
    <t>Управление конфликтами</t>
  </si>
  <si>
    <t>Сделать более длительный курс обучения, темы очень интересные и преподаватель шикарный</t>
  </si>
  <si>
    <t>Все вопросы актуальны</t>
  </si>
  <si>
    <t>Навыки и умения находить подход к каждому сотруднику, урегулирование конфликта, умение понимать нужды.</t>
  </si>
  <si>
    <t>были достигнуты</t>
  </si>
  <si>
    <t>На мой взгляд курс можно расширить, так как очень интересно и увлекательно, можно погрузиться в психологию взаимоотношений</t>
  </si>
  <si>
    <t>Тема по типам характера сотрудников и руководителей</t>
  </si>
  <si>
    <t>---</t>
  </si>
  <si>
    <t>ничего</t>
  </si>
  <si>
    <t>Разновозрастные категории сотрудников, разница в мотивации, конфликтные ситуации</t>
  </si>
  <si>
    <t>Мотивация сотрудников разных поколений, выход из конфликтных ситуаций</t>
  </si>
  <si>
    <t>Никаких, все вопросы применимы в работе</t>
  </si>
  <si>
    <t>Никакими</t>
  </si>
  <si>
    <t>Ничего</t>
  </si>
  <si>
    <t>профиль, конфликтология, наставничество</t>
  </si>
  <si>
    <t>распределение по возрастным группам, подход к каждому сотруднику</t>
  </si>
  <si>
    <t>программа достаточно насыщена</t>
  </si>
  <si>
    <t>не надо дополнять</t>
  </si>
  <si>
    <t>ничего все устраивает</t>
  </si>
  <si>
    <t>конфликты в коллективе, мотивация</t>
  </si>
  <si>
    <t>умение найти подход к каждому сотруднику</t>
  </si>
  <si>
    <t>все темы были интересны и полезны</t>
  </si>
  <si>
    <t>Буду использовать полученные знания</t>
  </si>
  <si>
    <t>теория поколений, наставничество, повышение мотивации сотрудников, снижение конфликтных ситуаций</t>
  </si>
  <si>
    <t>нет</t>
  </si>
  <si>
    <t>всего достаточно</t>
  </si>
  <si>
    <t>конфликты, наставничество, мотивационный профиль</t>
  </si>
  <si>
    <t>Навыки коммуникации в коллективе, разрешение конфликтных ситуаций, работа с молодыми сотрудниками</t>
  </si>
  <si>
    <t>Все темы гнеобходимы</t>
  </si>
  <si>
    <t>Программа сбалансирована</t>
  </si>
  <si>
    <t>_</t>
  </si>
  <si>
    <t>Организация на высоком методическом уровне</t>
  </si>
  <si>
    <t>конфликты, мотивация - все это ежедневно используется в работе</t>
  </si>
  <si>
    <t>все- от собеседования правильно выстроенного до разбора заявления об уходе</t>
  </si>
  <si>
    <t>все оставить</t>
  </si>
  <si>
    <t>еще больше игр</t>
  </si>
  <si>
    <t>все и так мастерски отработано</t>
  </si>
  <si>
    <t>разновозрастной коллектив со всей рф</t>
  </si>
  <si>
    <t>полученные навыки общения</t>
  </si>
  <si>
    <t>слишком сжато, дополнительное время</t>
  </si>
  <si>
    <t>Все</t>
  </si>
  <si>
    <t>Никакие</t>
  </si>
  <si>
    <t>Достаточно</t>
  </si>
  <si>
    <t>мотивация сотрудников, использую в работе</t>
  </si>
  <si>
    <t>при подборе персонала анкетирование</t>
  </si>
  <si>
    <t>таких нет</t>
  </si>
  <si>
    <t>собеседования при приеме на работу (кейсы)</t>
  </si>
  <si>
    <t>все понравилось</t>
  </si>
  <si>
    <t>------------</t>
  </si>
  <si>
    <t>-------------------</t>
  </si>
  <si>
    <t>я был вовлечен в процесс</t>
  </si>
  <si>
    <t>очное обучение в аудиториях Корпоративного университета</t>
  </si>
  <si>
    <t>больше конкретных примеров</t>
  </si>
  <si>
    <t>моя вовлеченность и так была максимальна</t>
  </si>
  <si>
    <t>Была вовлечена</t>
  </si>
  <si>
    <t>Ничего, была полностью погружена в учебный процесс</t>
  </si>
  <si>
    <t>все было интересно</t>
  </si>
  <si>
    <t>Благодаря интерактиву была полная вовлеченность</t>
  </si>
  <si>
    <t>Вовлеченность в процесс достаточная</t>
  </si>
  <si>
    <t>новые темы</t>
  </si>
  <si>
    <t>разбор практических примеров</t>
  </si>
  <si>
    <t>больше кейсов</t>
  </si>
  <si>
    <t>все вопросы решены.</t>
  </si>
  <si>
    <t>Эта тема была мне незнакома но очень нужна, теперь буду применять на практике полученные навыки</t>
  </si>
  <si>
    <t>Все супер, команда отличная и преподаватель выложился на все 100%</t>
  </si>
  <si>
    <t>Плюс - чат в МАХ, где публиковались материалы курса</t>
  </si>
  <si>
    <t>все было отлично</t>
  </si>
  <si>
    <t>все очень хорошо организовано</t>
  </si>
  <si>
    <t>Вся необходимая информация была направлена на электронную почту, была сформирована группа в соц. сетях</t>
  </si>
  <si>
    <t>Взаимодействие достаточно эффективное</t>
  </si>
  <si>
    <t>отличный курс</t>
  </si>
  <si>
    <t>Познавательно</t>
  </si>
  <si>
    <t>очень отзывчивые сотрудники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</si>
</sst>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1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1"/>
      <c r="B2" s="1"/>
      <c r="C2" s="1" t="s">
        <v>33</v>
      </c>
      <c r="D2" s="1" t="s">
        <v>34</v>
      </c>
      <c r="E2">
        <v>10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>
        <v>10</v>
      </c>
      <c r="M2" s="1" t="s">
        <v>50</v>
      </c>
      <c r="N2" s="1" t="s">
        <v>51</v>
      </c>
      <c r="O2" s="1" t="s">
        <v>54</v>
      </c>
      <c r="P2">
        <v>10</v>
      </c>
      <c r="Q2" s="1" t="s">
        <v>50</v>
      </c>
      <c r="R2" s="1" t="s">
        <v>110</v>
      </c>
      <c r="S2" s="1" t="s">
        <v>50</v>
      </c>
      <c r="T2" s="1" t="s">
        <v>111</v>
      </c>
      <c r="U2" s="1" t="s">
        <v>86</v>
      </c>
      <c r="V2" s="1" t="s">
        <v>111</v>
      </c>
      <c r="W2" s="1" t="s">
        <v>112</v>
      </c>
      <c r="X2" s="1" t="s">
        <v>113</v>
      </c>
      <c r="Y2">
        <v>10</v>
      </c>
      <c r="Z2" s="1" t="s">
        <v>124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33</v>
      </c>
      <c r="D3" s="1" t="s">
        <v>35</v>
      </c>
      <c r="E3">
        <v>10</v>
      </c>
      <c r="F3" s="1" t="s">
        <v>55</v>
      </c>
      <c r="G3" s="1" t="s">
        <v>56</v>
      </c>
      <c r="H3" s="1" t="s">
        <v>50</v>
      </c>
      <c r="I3" s="1" t="s">
        <v>57</v>
      </c>
      <c r="J3" s="1" t="s">
        <v>58</v>
      </c>
      <c r="K3" s="1" t="s">
        <v>59</v>
      </c>
      <c r="L3" s="1">
        <v>10</v>
      </c>
      <c r="M3" s="1" t="s">
        <v>50</v>
      </c>
      <c r="N3" s="1" t="s">
        <v>57</v>
      </c>
      <c r="O3" s="1" t="s">
        <v>60</v>
      </c>
      <c r="P3">
        <v>10</v>
      </c>
      <c r="Q3" s="1" t="s">
        <v>50</v>
      </c>
      <c r="R3" s="1" t="s">
        <v>57</v>
      </c>
      <c r="S3" s="1" t="s">
        <v>50</v>
      </c>
      <c r="T3" s="1" t="s">
        <v>57</v>
      </c>
      <c r="U3" s="1" t="s">
        <v>86</v>
      </c>
      <c r="V3" s="1" t="s">
        <v>57</v>
      </c>
      <c r="W3" s="1" t="s">
        <v>114</v>
      </c>
      <c r="X3" s="1" t="s">
        <v>113</v>
      </c>
      <c r="Y3">
        <v>10</v>
      </c>
      <c r="Z3" s="1" t="s">
        <v>60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1"/>
      <c r="B4" s="1"/>
      <c r="C4" s="1" t="s">
        <v>33</v>
      </c>
      <c r="D4" s="1" t="s">
        <v>36</v>
      </c>
      <c r="E4">
        <v>10</v>
      </c>
      <c r="F4" s="1" t="s">
        <v>61</v>
      </c>
      <c r="G4" s="1" t="s">
        <v>62</v>
      </c>
      <c r="H4" s="1" t="s">
        <v>50</v>
      </c>
      <c r="I4" s="1" t="s">
        <v>57</v>
      </c>
      <c r="J4" s="1" t="s">
        <v>57</v>
      </c>
      <c r="K4" s="1" t="s">
        <v>63</v>
      </c>
      <c r="L4" s="1">
        <v>10</v>
      </c>
      <c r="M4" s="1" t="s">
        <v>50</v>
      </c>
      <c r="N4" s="1" t="s">
        <v>57</v>
      </c>
      <c r="O4" s="1" t="s">
        <v>57</v>
      </c>
      <c r="P4">
        <v>10</v>
      </c>
      <c r="Q4" s="1" t="s">
        <v>50</v>
      </c>
      <c r="R4" s="1" t="s">
        <v>57</v>
      </c>
      <c r="S4" s="1" t="s">
        <v>50</v>
      </c>
      <c r="T4" s="1" t="s">
        <v>57</v>
      </c>
      <c r="U4" s="1" t="s">
        <v>86</v>
      </c>
      <c r="V4" s="1" t="s">
        <v>57</v>
      </c>
      <c r="W4" s="1" t="s">
        <v>115</v>
      </c>
      <c r="X4" s="1" t="s">
        <v>113</v>
      </c>
      <c r="Y4">
        <v>10</v>
      </c>
      <c r="Z4" s="1" t="s">
        <v>125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65" x14ac:dyDescent="0.25">
      <c r="A5" s="1"/>
      <c r="B5" s="1"/>
      <c r="C5" s="1" t="s">
        <v>33</v>
      </c>
      <c r="D5" s="1" t="s">
        <v>37</v>
      </c>
      <c r="E5">
        <v>10</v>
      </c>
      <c r="F5" s="1" t="s">
        <v>64</v>
      </c>
      <c r="G5" s="1" t="s">
        <v>65</v>
      </c>
      <c r="H5" s="1" t="s">
        <v>50</v>
      </c>
      <c r="I5" s="1" t="s">
        <v>66</v>
      </c>
      <c r="J5" s="1" t="s">
        <v>67</v>
      </c>
      <c r="K5" s="1" t="s">
        <v>68</v>
      </c>
      <c r="L5" s="1">
        <v>10</v>
      </c>
      <c r="M5" s="1" t="s">
        <v>50</v>
      </c>
      <c r="N5" s="1" t="s">
        <v>69</v>
      </c>
      <c r="O5" s="1" t="s">
        <v>70</v>
      </c>
      <c r="P5">
        <v>10</v>
      </c>
      <c r="Q5" s="1" t="s">
        <v>50</v>
      </c>
      <c r="R5" s="1" t="s">
        <v>69</v>
      </c>
      <c r="S5" s="1" t="s">
        <v>50</v>
      </c>
      <c r="T5" s="1" t="s">
        <v>69</v>
      </c>
      <c r="U5" s="1" t="s">
        <v>86</v>
      </c>
      <c r="V5" s="1" t="s">
        <v>69</v>
      </c>
      <c r="W5" s="1" t="s">
        <v>116</v>
      </c>
      <c r="X5" s="1" t="s">
        <v>113</v>
      </c>
      <c r="Y5">
        <v>10</v>
      </c>
      <c r="Z5" s="1" t="s">
        <v>126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38</v>
      </c>
      <c r="E6">
        <v>10</v>
      </c>
      <c r="F6" s="1" t="s">
        <v>71</v>
      </c>
      <c r="G6" s="1" t="s">
        <v>72</v>
      </c>
      <c r="H6" s="1" t="s">
        <v>50</v>
      </c>
      <c r="I6" s="1" t="s">
        <v>57</v>
      </c>
      <c r="J6" s="1" t="s">
        <v>73</v>
      </c>
      <c r="K6" s="1" t="s">
        <v>74</v>
      </c>
      <c r="L6" s="1">
        <v>10</v>
      </c>
      <c r="M6" s="1" t="s">
        <v>50</v>
      </c>
      <c r="N6" s="1" t="s">
        <v>57</v>
      </c>
      <c r="O6" s="1" t="s">
        <v>75</v>
      </c>
      <c r="P6">
        <v>10</v>
      </c>
      <c r="Q6" s="1" t="s">
        <v>50</v>
      </c>
      <c r="R6" s="1" t="s">
        <v>57</v>
      </c>
      <c r="S6" s="1" t="s">
        <v>50</v>
      </c>
      <c r="T6" s="1" t="s">
        <v>57</v>
      </c>
      <c r="U6" s="1" t="s">
        <v>86</v>
      </c>
      <c r="V6" s="1" t="s">
        <v>57</v>
      </c>
      <c r="W6" s="1" t="s">
        <v>117</v>
      </c>
      <c r="X6" s="1" t="s">
        <v>113</v>
      </c>
      <c r="Y6">
        <v>10</v>
      </c>
      <c r="Z6" s="1" t="s">
        <v>127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33</v>
      </c>
      <c r="D7" s="1" t="s">
        <v>39</v>
      </c>
      <c r="E7">
        <v>10</v>
      </c>
      <c r="F7" s="1" t="s">
        <v>76</v>
      </c>
      <c r="G7" s="1" t="s">
        <v>77</v>
      </c>
      <c r="H7" s="1" t="s">
        <v>50</v>
      </c>
      <c r="I7" s="1" t="s">
        <v>57</v>
      </c>
      <c r="J7" s="1" t="s">
        <v>78</v>
      </c>
      <c r="K7" s="1" t="s">
        <v>79</v>
      </c>
      <c r="L7" s="1">
        <v>10</v>
      </c>
      <c r="M7" s="1" t="s">
        <v>50</v>
      </c>
      <c r="N7" s="1" t="s">
        <v>57</v>
      </c>
      <c r="O7" s="1" t="s">
        <v>80</v>
      </c>
      <c r="P7">
        <v>10</v>
      </c>
      <c r="Q7" s="1" t="s">
        <v>50</v>
      </c>
      <c r="R7" s="1" t="s">
        <v>57</v>
      </c>
      <c r="S7" s="1" t="s">
        <v>50</v>
      </c>
      <c r="T7" s="1" t="s">
        <v>57</v>
      </c>
      <c r="U7" s="1" t="s">
        <v>86</v>
      </c>
      <c r="V7" s="1" t="s">
        <v>57</v>
      </c>
      <c r="W7" s="1" t="s">
        <v>118</v>
      </c>
      <c r="X7" s="1" t="s">
        <v>113</v>
      </c>
      <c r="Y7">
        <v>10</v>
      </c>
      <c r="Z7" s="1" t="s">
        <v>128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33</v>
      </c>
      <c r="D8" s="1" t="s">
        <v>40</v>
      </c>
      <c r="E8">
        <v>10</v>
      </c>
      <c r="F8" s="1" t="s">
        <v>81</v>
      </c>
      <c r="G8" s="1" t="s">
        <v>82</v>
      </c>
      <c r="H8" s="1" t="s">
        <v>50</v>
      </c>
      <c r="I8" s="1" t="s">
        <v>57</v>
      </c>
      <c r="J8" s="1" t="s">
        <v>83</v>
      </c>
      <c r="K8" s="1" t="s">
        <v>57</v>
      </c>
      <c r="L8" s="1">
        <v>10</v>
      </c>
      <c r="M8" s="1" t="s">
        <v>50</v>
      </c>
      <c r="N8" s="1" t="s">
        <v>57</v>
      </c>
      <c r="O8" s="1" t="s">
        <v>57</v>
      </c>
      <c r="P8">
        <v>10</v>
      </c>
      <c r="Q8" s="1" t="s">
        <v>50</v>
      </c>
      <c r="R8" s="1" t="s">
        <v>57</v>
      </c>
      <c r="S8" s="1" t="s">
        <v>50</v>
      </c>
      <c r="T8" s="1" t="s">
        <v>57</v>
      </c>
      <c r="U8" s="1" t="s">
        <v>86</v>
      </c>
      <c r="V8" s="1" t="s">
        <v>57</v>
      </c>
      <c r="W8" s="1" t="s">
        <v>87</v>
      </c>
      <c r="X8" s="1" t="s">
        <v>113</v>
      </c>
      <c r="Y8">
        <v>10</v>
      </c>
      <c r="Z8" s="1" t="s">
        <v>129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90" x14ac:dyDescent="0.25">
      <c r="A9" s="1"/>
      <c r="B9" s="1"/>
      <c r="C9" s="1" t="s">
        <v>33</v>
      </c>
      <c r="D9" s="1" t="s">
        <v>41</v>
      </c>
      <c r="E9">
        <v>8</v>
      </c>
      <c r="F9" s="1" t="s">
        <v>84</v>
      </c>
      <c r="G9" s="1" t="s">
        <v>85</v>
      </c>
      <c r="H9" s="1" t="s">
        <v>50</v>
      </c>
      <c r="I9" s="1" t="s">
        <v>57</v>
      </c>
      <c r="J9" s="1" t="s">
        <v>86</v>
      </c>
      <c r="K9" s="1" t="s">
        <v>86</v>
      </c>
      <c r="L9" s="1">
        <v>9</v>
      </c>
      <c r="M9" s="1" t="s">
        <v>50</v>
      </c>
      <c r="N9" s="1" t="s">
        <v>57</v>
      </c>
      <c r="O9" s="1" t="s">
        <v>87</v>
      </c>
      <c r="P9">
        <v>9</v>
      </c>
      <c r="Q9" s="1" t="s">
        <v>50</v>
      </c>
      <c r="R9" s="1" t="s">
        <v>57</v>
      </c>
      <c r="S9" s="1" t="s">
        <v>50</v>
      </c>
      <c r="T9" s="1" t="s">
        <v>57</v>
      </c>
      <c r="U9" s="1" t="s">
        <v>86</v>
      </c>
      <c r="V9" s="1" t="s">
        <v>57</v>
      </c>
      <c r="W9" s="1" t="s">
        <v>119</v>
      </c>
      <c r="X9" s="1" t="s">
        <v>113</v>
      </c>
      <c r="Y9">
        <v>10</v>
      </c>
      <c r="Z9" s="1" t="s">
        <v>130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75" x14ac:dyDescent="0.25">
      <c r="A10" s="1"/>
      <c r="B10" s="1"/>
      <c r="C10" s="1" t="s">
        <v>33</v>
      </c>
      <c r="D10" s="1" t="s">
        <v>42</v>
      </c>
      <c r="E10">
        <v>10</v>
      </c>
      <c r="F10" s="1" t="s">
        <v>88</v>
      </c>
      <c r="G10" s="1" t="s">
        <v>89</v>
      </c>
      <c r="H10" s="1" t="s">
        <v>50</v>
      </c>
      <c r="I10" s="1" t="s">
        <v>57</v>
      </c>
      <c r="J10" s="1" t="s">
        <v>90</v>
      </c>
      <c r="K10" s="1" t="s">
        <v>91</v>
      </c>
      <c r="L10" s="1">
        <v>10</v>
      </c>
      <c r="M10" s="1" t="s">
        <v>50</v>
      </c>
      <c r="N10" s="1" t="s">
        <v>92</v>
      </c>
      <c r="O10" s="1" t="s">
        <v>93</v>
      </c>
      <c r="P10">
        <v>10</v>
      </c>
      <c r="Q10" s="1" t="s">
        <v>50</v>
      </c>
      <c r="R10" s="1" t="s">
        <v>57</v>
      </c>
      <c r="S10" s="1" t="s">
        <v>50</v>
      </c>
      <c r="T10" s="1" t="s">
        <v>57</v>
      </c>
      <c r="U10" s="1" t="s">
        <v>86</v>
      </c>
      <c r="V10" s="1" t="s">
        <v>57</v>
      </c>
      <c r="W10" s="1" t="s">
        <v>120</v>
      </c>
      <c r="X10" s="1" t="s">
        <v>113</v>
      </c>
      <c r="Y10">
        <v>10</v>
      </c>
      <c r="Z10" s="1" t="s">
        <v>131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33</v>
      </c>
      <c r="D11" s="1" t="s">
        <v>43</v>
      </c>
      <c r="E11">
        <v>10</v>
      </c>
      <c r="F11" s="1" t="s">
        <v>94</v>
      </c>
      <c r="G11" s="1" t="s">
        <v>95</v>
      </c>
      <c r="H11" s="1" t="s">
        <v>50</v>
      </c>
      <c r="I11" s="1" t="s">
        <v>57</v>
      </c>
      <c r="J11" s="1" t="s">
        <v>96</v>
      </c>
      <c r="K11" s="1" t="s">
        <v>97</v>
      </c>
      <c r="L11" s="1">
        <v>10</v>
      </c>
      <c r="M11" s="1" t="s">
        <v>50</v>
      </c>
      <c r="N11" s="1" t="s">
        <v>57</v>
      </c>
      <c r="O11" s="1" t="s">
        <v>98</v>
      </c>
      <c r="P11">
        <v>10</v>
      </c>
      <c r="Q11" s="1" t="s">
        <v>50</v>
      </c>
      <c r="R11" s="1" t="s">
        <v>57</v>
      </c>
      <c r="S11" s="1" t="s">
        <v>50</v>
      </c>
      <c r="T11" s="1" t="s">
        <v>57</v>
      </c>
      <c r="U11" s="1" t="s">
        <v>86</v>
      </c>
      <c r="V11" s="1" t="s">
        <v>57</v>
      </c>
      <c r="W11" s="1" t="s">
        <v>121</v>
      </c>
      <c r="X11" s="1" t="s">
        <v>113</v>
      </c>
      <c r="Y11">
        <v>10</v>
      </c>
      <c r="Z11" s="1" t="s">
        <v>132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x14ac:dyDescent="0.25">
      <c r="A12" s="1"/>
      <c r="B12" s="1"/>
      <c r="C12" s="1" t="s">
        <v>44</v>
      </c>
      <c r="D12" s="1" t="s">
        <v>45</v>
      </c>
      <c r="E12">
        <v>10</v>
      </c>
      <c r="F12" s="1" t="s">
        <v>99</v>
      </c>
      <c r="G12" s="1" t="s">
        <v>100</v>
      </c>
      <c r="H12" s="1" t="s">
        <v>50</v>
      </c>
      <c r="I12" s="1" t="s">
        <v>57</v>
      </c>
      <c r="J12" s="1" t="s">
        <v>57</v>
      </c>
      <c r="K12" s="1" t="s">
        <v>101</v>
      </c>
      <c r="L12" s="1">
        <v>10</v>
      </c>
      <c r="M12" s="1" t="s">
        <v>86</v>
      </c>
      <c r="N12" s="1" t="s">
        <v>57</v>
      </c>
      <c r="O12" s="1" t="s">
        <v>57</v>
      </c>
      <c r="P12">
        <v>10</v>
      </c>
      <c r="Q12" s="1" t="s">
        <v>50</v>
      </c>
      <c r="R12" s="1" t="s">
        <v>57</v>
      </c>
      <c r="S12" s="1" t="s">
        <v>50</v>
      </c>
      <c r="T12" s="1" t="s">
        <v>57</v>
      </c>
      <c r="U12" s="1" t="s">
        <v>86</v>
      </c>
      <c r="V12" s="1" t="s">
        <v>57</v>
      </c>
      <c r="W12" s="1" t="s">
        <v>122</v>
      </c>
      <c r="X12" s="1" t="s">
        <v>113</v>
      </c>
      <c r="Y12">
        <v>10</v>
      </c>
      <c r="Z12" s="1" t="s">
        <v>109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33</v>
      </c>
      <c r="D13" s="1" t="s">
        <v>46</v>
      </c>
      <c r="E13">
        <v>9</v>
      </c>
      <c r="F13" s="1" t="s">
        <v>102</v>
      </c>
      <c r="G13" s="1" t="s">
        <v>102</v>
      </c>
      <c r="H13" s="1" t="s">
        <v>50</v>
      </c>
      <c r="I13" s="1" t="s">
        <v>57</v>
      </c>
      <c r="J13" s="1" t="s">
        <v>103</v>
      </c>
      <c r="K13" s="1" t="s">
        <v>104</v>
      </c>
      <c r="L13" s="1">
        <v>9</v>
      </c>
      <c r="M13" s="1" t="s">
        <v>50</v>
      </c>
      <c r="N13" s="1" t="s">
        <v>57</v>
      </c>
      <c r="O13" s="1" t="s">
        <v>57</v>
      </c>
      <c r="P13">
        <v>9</v>
      </c>
      <c r="Q13" s="1" t="s">
        <v>50</v>
      </c>
      <c r="R13" s="1" t="s">
        <v>57</v>
      </c>
      <c r="S13" s="1" t="s">
        <v>50</v>
      </c>
      <c r="T13" s="1" t="s">
        <v>57</v>
      </c>
      <c r="U13" s="1" t="s">
        <v>86</v>
      </c>
      <c r="V13" s="1" t="s">
        <v>57</v>
      </c>
      <c r="W13" s="1" t="s">
        <v>104</v>
      </c>
      <c r="X13" s="1" t="s">
        <v>113</v>
      </c>
      <c r="Y13">
        <v>10</v>
      </c>
      <c r="Z13" s="1" t="s">
        <v>133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33</v>
      </c>
      <c r="D14" s="1" t="s">
        <v>47</v>
      </c>
      <c r="E14">
        <v>10</v>
      </c>
      <c r="F14" s="1" t="s">
        <v>105</v>
      </c>
      <c r="G14" s="1" t="s">
        <v>106</v>
      </c>
      <c r="H14" s="1" t="s">
        <v>50</v>
      </c>
      <c r="I14" s="1" t="s">
        <v>86</v>
      </c>
      <c r="J14" s="1" t="s">
        <v>107</v>
      </c>
      <c r="K14" s="1" t="s">
        <v>108</v>
      </c>
      <c r="L14" s="1">
        <v>10</v>
      </c>
      <c r="M14" s="1" t="s">
        <v>50</v>
      </c>
      <c r="N14" s="1" t="s">
        <v>86</v>
      </c>
      <c r="O14" s="1" t="s">
        <v>109</v>
      </c>
      <c r="P14">
        <v>10</v>
      </c>
      <c r="Q14" s="1" t="s">
        <v>50</v>
      </c>
      <c r="R14" s="1" t="s">
        <v>86</v>
      </c>
      <c r="S14" s="1" t="s">
        <v>50</v>
      </c>
      <c r="T14" s="1" t="s">
        <v>107</v>
      </c>
      <c r="U14" s="1" t="s">
        <v>86</v>
      </c>
      <c r="V14" s="1" t="s">
        <v>107</v>
      </c>
      <c r="W14" s="1" t="s">
        <v>123</v>
      </c>
      <c r="X14" s="1" t="s">
        <v>113</v>
      </c>
      <c r="Y14">
        <v>10</v>
      </c>
      <c r="Z14" s="1" t="s">
        <v>134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F15" s="1"/>
      <c r="G15" s="1"/>
      <c r="H15" s="1"/>
      <c r="I15" s="1"/>
      <c r="J15" s="1"/>
      <c r="K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8" t="s">
        <v>6</v>
      </c>
      <c r="C2" s="8"/>
      <c r="D2" s="8"/>
      <c r="E2" s="8"/>
      <c r="F2" s="8"/>
      <c r="G2" s="8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9.7692307692307701</v>
      </c>
      <c r="C4" s="7">
        <f>AVERAGE('Исходные данные (итог. анкета)'!L:L)</f>
        <v>9.8461538461538467</v>
      </c>
      <c r="D4" s="7">
        <f>AVERAGE('Исходные данные (итог. анкета)'!P:P)</f>
        <v>9.8461538461538467</v>
      </c>
      <c r="E4" s="6">
        <f>COUNTIF('Исходные данные (итог. анкета)'!U:U,"нет")/COUNTA('Исходные данные (итог. анкета)'!U2:U499)</f>
        <v>1</v>
      </c>
      <c r="F4" s="7">
        <f>AVERAGE('Исходные данные (итог. анкета)'!Y:Y)</f>
        <v>10</v>
      </c>
      <c r="G4" s="7">
        <f>AVERAGE(B4:D4,F4)</f>
        <v>9.8653846153846168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2026-07-01T10:25:46Z</dcterms:modified>
</cp:coreProperties>
</file>