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<sst xmlns="http://schemas.openxmlformats.org/spreadsheetml/2006/main" count="233" uniqueCount="93">
  <si>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</si>
  <si>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</si>
  <si>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</si>
  <si>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</si>
  <si>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</si>
  <si>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</si>
  <si>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</si>
  <si>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</si>
  <si>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</si>
  <si>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</si>
  <si>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</si>
  <si>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</si>
  <si>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</si>
  <si>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</si>
  <si>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</si>
  <si>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</si>
  <si>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</si>
  <si>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</si>
  <si>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</si>
  <si>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</si>
  <si>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</si>
  <si>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</si>
  <si>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</si>
  <si>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</si>
  <si>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</si>
  <si>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</si>
  <si>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</si>
  <si>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</si>
  <si>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</si>
  <si>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</si>
  <si>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</si>
  <si>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</si>
  <si>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</si>
  <si>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</si>
  <si>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учиться</t>
  </si>
  <si>
    <t>.</t>
  </si>
  <si>
    <t>да</t>
  </si>
  <si>
    <t>полностью дистанционный формат обучения</t>
  </si>
  <si>
    <t>руководитель</t>
  </si>
  <si>
    <t>Программа необходима для эффективного исполнения полномочий по контролю (надзору)</t>
  </si>
  <si>
    <t>Управление конфликтами, правовые основы применения спецсредств, тактика применения спецсредств</t>
  </si>
  <si>
    <t>Все  знания, умения и навыки, полученные на программе, можно применить в своей деятельности</t>
  </si>
  <si>
    <t>-</t>
  </si>
  <si>
    <t>нужны все</t>
  </si>
  <si>
    <t>все аспекты учтены программой</t>
  </si>
  <si>
    <t>нет</t>
  </si>
  <si>
    <t>очное обучение в аудиториях Корпоративного университета</t>
  </si>
  <si>
    <t>Прекрасное отношение, внимание ко всем деталям.</t>
  </si>
  <si>
    <t>Необходимо в работе</t>
  </si>
  <si>
    <t>Применение спецсредств</t>
  </si>
  <si>
    <t>Навыки применения спецсредств</t>
  </si>
  <si>
    <t>смешанное обучение: частично очно, частично дистанционно</t>
  </si>
  <si>
    <t>необходимо в работе</t>
  </si>
  <si>
    <t>все</t>
  </si>
  <si>
    <t>никаких</t>
  </si>
  <si>
    <t>ничего</t>
  </si>
  <si>
    <t>Решение работодателя</t>
  </si>
  <si>
    <t>Правовые основы применения Спец средств</t>
  </si>
  <si>
    <t>Практика применения СС</t>
  </si>
  <si>
    <t>практика применения служебного оружия</t>
  </si>
  <si>
    <t>все устраивает</t>
  </si>
  <si>
    <t>практика</t>
  </si>
  <si>
    <t>Законодательная необходимость</t>
  </si>
  <si>
    <t>Применения специальных средств</t>
  </si>
  <si>
    <t>Всё сбалансированно</t>
  </si>
  <si>
    <t>Применение оружия</t>
  </si>
  <si>
    <t>Больше практических занятий</t>
  </si>
  <si>
    <t>Участие</t>
  </si>
  <si>
    <t>Согласен</t>
  </si>
  <si>
    <t>применение практических навыков при исполнении должностных обязанностей</t>
  </si>
  <si>
    <t>раздел "эффективная коммуникация. управление конфликтом" На практических примерах разобрали типы и виды конфликтов и способы выхода из них?</t>
  </si>
  <si>
    <t>способы выхода из конфликтов и возможности выхода из них</t>
  </si>
  <si>
    <t>уменьшить  объем практической части применения спецсредств</t>
  </si>
  <si>
    <t>подготовка к практической части с применением полученных знаний</t>
  </si>
  <si>
    <t>применение полученных знаний в практическая части</t>
  </si>
  <si>
    <t>отработка навыков с промежуточным тестированием</t>
  </si>
  <si>
    <t>активные действия, отработка навыков</t>
  </si>
  <si>
    <t>как в пятизвездочном отеле, внимание и забота</t>
  </si>
  <si>
    <t>решение работодателя</t>
  </si>
  <si>
    <t>применение спецсредств</t>
  </si>
  <si>
    <t>практика и применение СС</t>
  </si>
  <si>
    <t>практика применения оружия</t>
  </si>
  <si>
    <t>все хорошо</t>
  </si>
  <si>
    <t>Необходимо получение знаний по данному вопросу для эффективного выполнения служебных обязанностей.</t>
  </si>
  <si>
    <t>Избегание и решение конфликтов, способы и методы использования рабочего инструмента (средств принуждения и обездвиживания)</t>
  </si>
  <si>
    <t>Все</t>
  </si>
  <si>
    <t>Нельзя ничего исключать.</t>
  </si>
  <si>
    <t>Правила использования служебного огнестрельного оружия. Увеличить количество практических занятий.</t>
  </si>
  <si>
    <t>Ничего</t>
  </si>
  <si>
    <t>Больше практики</t>
  </si>
  <si>
    <t>Все было классно!</t>
  </si>
  <si>
    <t>Разрешение конфликтных ситуаций</t>
  </si>
  <si>
    <t>применение спецсредства, урегулирование конфликтных ситуаций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</si>
</sst>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1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1"/>
      <c r="B2" s="1"/>
      <c r="C2" s="1" t="s">
        <v>33</v>
      </c>
      <c r="D2" s="1" t="s">
        <v>34</v>
      </c>
      <c r="E2" s="9">
        <v>10</v>
      </c>
      <c r="F2" s="1" t="s">
        <v>35</v>
      </c>
      <c r="G2" s="1" t="s">
        <v>35</v>
      </c>
      <c r="H2" s="1" t="s">
        <v>36</v>
      </c>
      <c r="I2" s="1" t="s">
        <v>35</v>
      </c>
      <c r="J2" s="1" t="s">
        <v>35</v>
      </c>
      <c r="K2" s="1" t="s">
        <v>35</v>
      </c>
      <c r="L2" s="9">
        <v>10</v>
      </c>
      <c r="M2" s="1" t="s">
        <v>36</v>
      </c>
      <c r="N2" s="1" t="s">
        <v>35</v>
      </c>
      <c r="O2" s="1" t="s">
        <v>35</v>
      </c>
      <c r="P2" s="9">
        <v>10</v>
      </c>
      <c r="Q2" s="1" t="s">
        <v>36</v>
      </c>
      <c r="R2" s="1" t="s">
        <v>35</v>
      </c>
      <c r="S2" s="1" t="s">
        <v>36</v>
      </c>
      <c r="T2" s="1" t="s">
        <v>35</v>
      </c>
      <c r="U2" s="1" t="s">
        <v>36</v>
      </c>
      <c r="V2" s="1" t="s">
        <v>35</v>
      </c>
      <c r="W2" s="1" t="s">
        <v>35</v>
      </c>
      <c r="X2" s="1" t="s">
        <v>37</v>
      </c>
      <c r="Y2" s="9">
        <v>10</v>
      </c>
      <c r="Z2" s="1" t="s">
        <v>35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90" x14ac:dyDescent="0.25">
      <c r="A3" s="1"/>
      <c r="B3" s="1"/>
      <c r="C3" s="1" t="s">
        <v>38</v>
      </c>
      <c r="D3" s="1" t="s">
        <v>39</v>
      </c>
      <c r="E3" s="9">
        <v>10</v>
      </c>
      <c r="F3" s="1" t="s">
        <v>40</v>
      </c>
      <c r="G3" s="1" t="s">
        <v>41</v>
      </c>
      <c r="H3" s="1" t="s">
        <v>36</v>
      </c>
      <c r="I3" s="1" t="s">
        <v>42</v>
      </c>
      <c r="J3" s="1" t="s">
        <v>43</v>
      </c>
      <c r="K3" s="1" t="s">
        <v>44</v>
      </c>
      <c r="L3" s="9">
        <v>10</v>
      </c>
      <c r="M3" s="1" t="s">
        <v>36</v>
      </c>
      <c r="N3" s="1" t="s">
        <v>42</v>
      </c>
      <c r="O3" s="1" t="s">
        <v>42</v>
      </c>
      <c r="P3" s="9">
        <v>10</v>
      </c>
      <c r="Q3" s="1" t="s">
        <v>36</v>
      </c>
      <c r="R3" s="1" t="s">
        <v>42</v>
      </c>
      <c r="S3" s="1" t="s">
        <v>36</v>
      </c>
      <c r="T3" s="1" t="s">
        <v>42</v>
      </c>
      <c r="U3" s="1" t="s">
        <v>45</v>
      </c>
      <c r="V3" s="1" t="s">
        <v>42</v>
      </c>
      <c r="W3" s="1" t="s">
        <v>42</v>
      </c>
      <c r="X3" s="1" t="s">
        <v>46</v>
      </c>
      <c r="Y3" s="9">
        <v>10</v>
      </c>
      <c r="Z3" s="1" t="s">
        <v>47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1"/>
      <c r="B4" s="1"/>
      <c r="C4" s="1" t="s">
        <v>33</v>
      </c>
      <c r="D4" s="1" t="s">
        <v>48</v>
      </c>
      <c r="E4" s="9">
        <v>8</v>
      </c>
      <c r="F4" s="1" t="s">
        <v>49</v>
      </c>
      <c r="G4" s="1" t="s">
        <v>50</v>
      </c>
      <c r="H4" s="1" t="s">
        <v>36</v>
      </c>
      <c r="I4" s="1" t="s">
        <v>42</v>
      </c>
      <c r="J4" s="1" t="s">
        <v>42</v>
      </c>
      <c r="K4" s="1" t="s">
        <v>42</v>
      </c>
      <c r="L4" s="9">
        <v>9</v>
      </c>
      <c r="M4" s="1" t="s">
        <v>36</v>
      </c>
      <c r="N4" s="1" t="s">
        <v>42</v>
      </c>
      <c r="O4" s="1" t="s">
        <v>42</v>
      </c>
      <c r="P4" s="9">
        <v>10</v>
      </c>
      <c r="Q4" s="1" t="s">
        <v>36</v>
      </c>
      <c r="R4" s="1" t="s">
        <v>42</v>
      </c>
      <c r="S4" s="1" t="s">
        <v>36</v>
      </c>
      <c r="T4" s="1" t="s">
        <v>42</v>
      </c>
      <c r="U4" s="1" t="s">
        <v>45</v>
      </c>
      <c r="V4" s="1" t="s">
        <v>42</v>
      </c>
      <c r="W4" s="1" t="s">
        <v>42</v>
      </c>
      <c r="X4" s="1" t="s">
        <v>51</v>
      </c>
      <c r="Y4" s="9">
        <v>10</v>
      </c>
      <c r="Z4" s="1" t="s">
        <v>42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38</v>
      </c>
      <c r="D5" s="1" t="s">
        <v>52</v>
      </c>
      <c r="E5" s="9">
        <v>10</v>
      </c>
      <c r="F5" s="1" t="s">
        <v>53</v>
      </c>
      <c r="G5" s="1" t="s">
        <v>53</v>
      </c>
      <c r="H5" s="1" t="s">
        <v>36</v>
      </c>
      <c r="I5" s="1" t="s">
        <v>42</v>
      </c>
      <c r="J5" s="1" t="s">
        <v>54</v>
      </c>
      <c r="K5" s="1" t="s">
        <v>42</v>
      </c>
      <c r="L5" s="9">
        <v>9</v>
      </c>
      <c r="M5" s="1" t="s">
        <v>36</v>
      </c>
      <c r="N5" s="1" t="s">
        <v>42</v>
      </c>
      <c r="O5" s="1" t="s">
        <v>55</v>
      </c>
      <c r="P5" s="9">
        <v>9</v>
      </c>
      <c r="Q5" s="1" t="s">
        <v>45</v>
      </c>
      <c r="R5" s="1" t="s">
        <v>42</v>
      </c>
      <c r="S5" s="1" t="s">
        <v>36</v>
      </c>
      <c r="T5" s="1" t="s">
        <v>42</v>
      </c>
      <c r="U5" s="1" t="s">
        <v>45</v>
      </c>
      <c r="V5" s="1" t="s">
        <v>42</v>
      </c>
      <c r="W5" s="1" t="s">
        <v>42</v>
      </c>
      <c r="X5" s="1" t="s">
        <v>46</v>
      </c>
      <c r="Y5" s="9">
        <v>10</v>
      </c>
      <c r="Z5" s="1" t="s">
        <v>42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1"/>
      <c r="B6" s="1"/>
      <c r="C6" s="1" t="s">
        <v>33</v>
      </c>
      <c r="D6" s="1" t="s">
        <v>56</v>
      </c>
      <c r="E6" s="9">
        <v>8</v>
      </c>
      <c r="F6" s="1" t="s">
        <v>57</v>
      </c>
      <c r="G6" s="1" t="s">
        <v>58</v>
      </c>
      <c r="H6" s="1" t="s">
        <v>36</v>
      </c>
      <c r="I6" s="1" t="s">
        <v>42</v>
      </c>
      <c r="J6" s="1" t="s">
        <v>45</v>
      </c>
      <c r="K6" s="1" t="s">
        <v>59</v>
      </c>
      <c r="L6" s="9">
        <v>8</v>
      </c>
      <c r="M6" s="1" t="s">
        <v>36</v>
      </c>
      <c r="N6" s="1" t="s">
        <v>42</v>
      </c>
      <c r="O6" s="1" t="s">
        <v>60</v>
      </c>
      <c r="P6" s="9">
        <v>8</v>
      </c>
      <c r="Q6" s="1" t="s">
        <v>36</v>
      </c>
      <c r="R6" s="1" t="s">
        <v>42</v>
      </c>
      <c r="S6" s="1" t="s">
        <v>36</v>
      </c>
      <c r="T6" s="1" t="s">
        <v>42</v>
      </c>
      <c r="U6" s="1" t="s">
        <v>45</v>
      </c>
      <c r="V6" s="1" t="s">
        <v>42</v>
      </c>
      <c r="W6" s="1" t="s">
        <v>61</v>
      </c>
      <c r="X6" s="1" t="s">
        <v>37</v>
      </c>
      <c r="Y6" s="9">
        <v>8</v>
      </c>
      <c r="Z6" s="1" t="s">
        <v>42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"/>
      <c r="B7" s="1"/>
      <c r="C7" s="1" t="s">
        <v>33</v>
      </c>
      <c r="D7" s="1" t="s">
        <v>62</v>
      </c>
      <c r="E7" s="9">
        <v>10</v>
      </c>
      <c r="F7" s="1" t="s">
        <v>63</v>
      </c>
      <c r="G7" s="1" t="s">
        <v>63</v>
      </c>
      <c r="H7" s="1" t="s">
        <v>36</v>
      </c>
      <c r="I7" s="1" t="s">
        <v>42</v>
      </c>
      <c r="J7" s="1" t="s">
        <v>64</v>
      </c>
      <c r="K7" s="1" t="s">
        <v>65</v>
      </c>
      <c r="L7" s="9">
        <v>10</v>
      </c>
      <c r="M7" s="1" t="s">
        <v>36</v>
      </c>
      <c r="N7" s="1" t="s">
        <v>42</v>
      </c>
      <c r="O7" s="1" t="s">
        <v>66</v>
      </c>
      <c r="P7" s="9">
        <v>10</v>
      </c>
      <c r="Q7" s="1" t="s">
        <v>36</v>
      </c>
      <c r="R7" s="1" t="s">
        <v>42</v>
      </c>
      <c r="S7" s="1" t="s">
        <v>36</v>
      </c>
      <c r="T7" s="1" t="s">
        <v>42</v>
      </c>
      <c r="U7" s="1" t="s">
        <v>36</v>
      </c>
      <c r="V7" s="1" t="s">
        <v>42</v>
      </c>
      <c r="W7" s="1" t="s">
        <v>67</v>
      </c>
      <c r="X7" s="1" t="s">
        <v>37</v>
      </c>
      <c r="Y7" s="9">
        <v>10</v>
      </c>
      <c r="Z7" s="1" t="s">
        <v>68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05" x14ac:dyDescent="0.25">
      <c r="A8" s="1"/>
      <c r="B8" s="1"/>
      <c r="C8" s="1" t="s">
        <v>33</v>
      </c>
      <c r="D8" s="1" t="s">
        <v>69</v>
      </c>
      <c r="E8" s="9">
        <v>9</v>
      </c>
      <c r="F8" s="1" t="s">
        <v>70</v>
      </c>
      <c r="G8" s="1" t="s">
        <v>71</v>
      </c>
      <c r="H8" s="1" t="s">
        <v>36</v>
      </c>
      <c r="I8" s="1" t="s">
        <v>42</v>
      </c>
      <c r="J8" s="1" t="s">
        <v>72</v>
      </c>
      <c r="K8" s="1" t="s">
        <v>73</v>
      </c>
      <c r="L8" s="9">
        <v>9</v>
      </c>
      <c r="M8" s="1" t="s">
        <v>45</v>
      </c>
      <c r="N8" s="1" t="s">
        <v>74</v>
      </c>
      <c r="O8" s="1" t="s">
        <v>75</v>
      </c>
      <c r="P8" s="9">
        <v>9</v>
      </c>
      <c r="Q8" s="1" t="s">
        <v>36</v>
      </c>
      <c r="R8" s="1" t="s">
        <v>42</v>
      </c>
      <c r="S8" s="1" t="s">
        <v>36</v>
      </c>
      <c r="T8" s="1" t="s">
        <v>42</v>
      </c>
      <c r="U8" s="1" t="s">
        <v>45</v>
      </c>
      <c r="V8" s="1" t="s">
        <v>42</v>
      </c>
      <c r="W8" s="1" t="s">
        <v>76</v>
      </c>
      <c r="X8" s="1" t="s">
        <v>46</v>
      </c>
      <c r="Y8" s="9">
        <v>10</v>
      </c>
      <c r="Z8" s="1" t="s">
        <v>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33</v>
      </c>
      <c r="D9" s="1" t="s">
        <v>78</v>
      </c>
      <c r="E9" s="9">
        <v>8</v>
      </c>
      <c r="F9" s="1" t="s">
        <v>79</v>
      </c>
      <c r="G9" s="1" t="s">
        <v>80</v>
      </c>
      <c r="H9" s="1" t="s">
        <v>36</v>
      </c>
      <c r="I9" s="1" t="s">
        <v>42</v>
      </c>
      <c r="J9" s="1" t="s">
        <v>54</v>
      </c>
      <c r="K9" s="1" t="s">
        <v>81</v>
      </c>
      <c r="L9" s="9">
        <v>8</v>
      </c>
      <c r="M9" s="1" t="s">
        <v>36</v>
      </c>
      <c r="N9" s="1" t="s">
        <v>42</v>
      </c>
      <c r="O9" s="1" t="s">
        <v>60</v>
      </c>
      <c r="P9" s="9">
        <v>8</v>
      </c>
      <c r="Q9" s="1" t="s">
        <v>36</v>
      </c>
      <c r="R9" s="1" t="s">
        <v>42</v>
      </c>
      <c r="S9" s="1" t="s">
        <v>36</v>
      </c>
      <c r="T9" s="1" t="s">
        <v>42</v>
      </c>
      <c r="U9" s="1" t="s">
        <v>45</v>
      </c>
      <c r="V9" s="1" t="s">
        <v>42</v>
      </c>
      <c r="W9" s="1" t="s">
        <v>61</v>
      </c>
      <c r="X9" s="1" t="s">
        <v>46</v>
      </c>
      <c r="Y9" s="9">
        <v>8</v>
      </c>
      <c r="Z9" s="1" t="s">
        <v>82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05" x14ac:dyDescent="0.25">
      <c r="A10" s="1"/>
      <c r="B10" s="1"/>
      <c r="C10" s="1" t="s">
        <v>33</v>
      </c>
      <c r="D10" s="1" t="s">
        <v>83</v>
      </c>
      <c r="E10" s="9">
        <v>10</v>
      </c>
      <c r="F10" s="1" t="s">
        <v>84</v>
      </c>
      <c r="G10" s="1" t="s">
        <v>85</v>
      </c>
      <c r="H10" s="1" t="s">
        <v>36</v>
      </c>
      <c r="I10" s="1" t="s">
        <v>42</v>
      </c>
      <c r="J10" s="1" t="s">
        <v>86</v>
      </c>
      <c r="K10" s="1" t="s">
        <v>87</v>
      </c>
      <c r="L10" s="9">
        <v>10</v>
      </c>
      <c r="M10" s="1" t="s">
        <v>36</v>
      </c>
      <c r="N10" s="1" t="s">
        <v>42</v>
      </c>
      <c r="O10" s="1" t="s">
        <v>88</v>
      </c>
      <c r="P10" s="9">
        <v>10</v>
      </c>
      <c r="Q10" s="1" t="s">
        <v>36</v>
      </c>
      <c r="R10" s="1" t="s">
        <v>42</v>
      </c>
      <c r="S10" s="1" t="s">
        <v>36</v>
      </c>
      <c r="T10" s="1" t="s">
        <v>42</v>
      </c>
      <c r="U10" s="1" t="s">
        <v>45</v>
      </c>
      <c r="V10" s="1" t="s">
        <v>42</v>
      </c>
      <c r="W10" s="1" t="s">
        <v>89</v>
      </c>
      <c r="X10" s="1" t="s">
        <v>51</v>
      </c>
      <c r="Y10" s="9">
        <v>10</v>
      </c>
      <c r="Z10" s="1" t="s">
        <v>90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33</v>
      </c>
      <c r="D11" s="1" t="s">
        <v>42</v>
      </c>
      <c r="E11" s="9">
        <v>10</v>
      </c>
      <c r="F11" s="1" t="s">
        <v>91</v>
      </c>
      <c r="G11" s="1" t="s">
        <v>92</v>
      </c>
      <c r="H11" s="1" t="s">
        <v>36</v>
      </c>
      <c r="I11" s="1" t="s">
        <v>42</v>
      </c>
      <c r="J11" s="1" t="s">
        <v>42</v>
      </c>
      <c r="K11" s="1" t="s">
        <v>42</v>
      </c>
      <c r="L11" s="9">
        <v>9</v>
      </c>
      <c r="M11" s="1" t="s">
        <v>36</v>
      </c>
      <c r="N11" s="1" t="s">
        <v>42</v>
      </c>
      <c r="O11" s="1" t="s">
        <v>42</v>
      </c>
      <c r="P11" s="9">
        <v>10</v>
      </c>
      <c r="Q11" s="1" t="s">
        <v>36</v>
      </c>
      <c r="R11" s="1" t="s">
        <v>42</v>
      </c>
      <c r="S11" s="1" t="s">
        <v>36</v>
      </c>
      <c r="T11" s="1" t="s">
        <v>42</v>
      </c>
      <c r="U11" s="1" t="s">
        <v>45</v>
      </c>
      <c r="V11" s="1" t="s">
        <v>42</v>
      </c>
      <c r="W11" s="1" t="s">
        <v>42</v>
      </c>
      <c r="X11" s="1" t="s">
        <v>46</v>
      </c>
      <c r="Y11" s="9">
        <v>9</v>
      </c>
      <c r="Z11" s="1" t="s">
        <v>42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1"/>
      <c r="B12" s="1"/>
      <c r="C12" s="1"/>
      <c r="D12" s="1"/>
      <c r="F12" s="1"/>
      <c r="G12" s="1"/>
      <c r="H12" s="1"/>
      <c r="I12" s="1"/>
      <c r="J12" s="1"/>
      <c r="K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1"/>
      <c r="B13" s="1"/>
      <c r="C13" s="1"/>
      <c r="D13" s="1"/>
      <c r="F13" s="1"/>
      <c r="G13" s="1"/>
      <c r="H13" s="1"/>
      <c r="I13" s="1"/>
      <c r="J13" s="1"/>
      <c r="K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F14" s="1"/>
      <c r="G14" s="1"/>
      <c r="H14" s="1"/>
      <c r="I14" s="1"/>
      <c r="J14" s="1"/>
      <c r="K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9.3000000000000007</v>
      </c>
      <c r="C4" s="8">
        <f>AVERAGE('Исходные данные (итог. анкета)'!L:L)</f>
        <v>9.1999999999999993</v>
      </c>
      <c r="D4" s="8">
        <f>AVERAGE('Исходные данные (итог. анкета)'!P:P)</f>
        <v>9.4</v>
      </c>
      <c r="E4" s="7">
        <f>COUNTIF('Исходные данные (итог. анкета)'!U:U,"нет")/COUNTA('Исходные данные (итог. анкета)'!U2:U499)</f>
        <v>0.8</v>
      </c>
      <c r="F4" s="8">
        <f>AVERAGE('Исходные данные (итог. анкета)'!Y:Y)</f>
        <v>9.5</v>
      </c>
      <c r="G4" s="4">
        <f>AVERAGE(B4:D4,F4)</f>
        <v>9.35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2026-07-01T09:40:54Z</dcterms:modified>
</cp:coreProperties>
</file>