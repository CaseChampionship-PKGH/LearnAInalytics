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<sst xmlns="http://schemas.openxmlformats.org/spreadsheetml/2006/main" count="533" uniqueCount="200">
  <si>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</si>
  <si>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</si>
  <si>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</si>
  <si>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</si>
  <si>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</si>
  <si>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</si>
  <si>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</si>
  <si>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</si>
  <si>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</si>
  <si>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</si>
  <si>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</si>
  <si>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</si>
  <si>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</si>
  <si>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</si>
  <si>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</si>
  <si>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</si>
  <si>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</si>
  <si>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</si>
  <si>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</si>
  <si>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</si>
  <si>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</si>
  <si>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</si>
  <si>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</si>
  <si>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</si>
  <si>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</si>
  <si>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</si>
  <si>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</si>
  <si>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</si>
  <si>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</si>
  <si>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</si>
  <si>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</si>
  <si>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</si>
  <si>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</si>
  <si>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</si>
  <si>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</si>
  <si>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</si>
  <si>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В соответствии с планом развития</t>
  </si>
  <si>
    <t>Интересная тем</t>
  </si>
  <si>
    <t>По совету коллег</t>
  </si>
  <si>
    <t>расширение компетенций</t>
  </si>
  <si>
    <t>интересный курс</t>
  </si>
  <si>
    <t>Интересная тема</t>
  </si>
  <si>
    <t>По рекомендации коллег и руководителя.</t>
  </si>
  <si>
    <t>интерес</t>
  </si>
  <si>
    <t>В соответствии с планом</t>
  </si>
  <si>
    <t>актуальная и интересная тема</t>
  </si>
  <si>
    <t>заинтересовала тема и положительные отзывы коллег, прошедших обучение по данной программе</t>
  </si>
  <si>
    <t>для использования полученных знаний в своей работе и в частной жизни</t>
  </si>
  <si>
    <t>заинтересовалась, рекомендация коллег</t>
  </si>
  <si>
    <t>расширить кругозор</t>
  </si>
  <si>
    <t>Тема актуальная в современном мире</t>
  </si>
  <si>
    <t>приобретение новых знаний и компетенций, необходимость эффективно и качественно решать рабочие задачи</t>
  </si>
  <si>
    <t xml:space="preserve"> По рекомендации</t>
  </si>
  <si>
    <t>Очень интересная тема для жизни и работы</t>
  </si>
  <si>
    <t>Любопытство</t>
  </si>
  <si>
    <t>Хотела проверить являюсь ли я критически и логически мыслящей. Люблю курсы, которые полезны не только для работы, но и для жизни</t>
  </si>
  <si>
    <t>повышение квалификации</t>
  </si>
  <si>
    <t>Для повышения квалификации</t>
  </si>
  <si>
    <t>новые знания</t>
  </si>
  <si>
    <t>Личный интерес</t>
  </si>
  <si>
    <t>ресурсы для поддержания умственной активности</t>
  </si>
  <si>
    <t>логическое мышление, теория аргументации</t>
  </si>
  <si>
    <t>да</t>
  </si>
  <si>
    <t>-</t>
  </si>
  <si>
    <t>никакие</t>
  </si>
  <si>
    <t>затрудняюсь ответить</t>
  </si>
  <si>
    <t>нет</t>
  </si>
  <si>
    <t>индивидуальные задания</t>
  </si>
  <si>
    <t>очное обучение в аудиториях Корпоративного университета</t>
  </si>
  <si>
    <t>Спасибо!</t>
  </si>
  <si>
    <t>Методы нахождения решений</t>
  </si>
  <si>
    <t>Применить рассмотренные методы</t>
  </si>
  <si>
    <t>Можно добавить примеры из госслужбы</t>
  </si>
  <si>
    <t>Более четко сформулированные командные задания. Иногда было не понятно, что конкретно надо сделать, и делалалось не все</t>
  </si>
  <si>
    <t>Не приходят обещанные преподавателем материалы</t>
  </si>
  <si>
    <t>Теория аргументации</t>
  </si>
  <si>
    <t>Теория аргументации. анализ проблем</t>
  </si>
  <si>
    <t>Предложения отсутствуют</t>
  </si>
  <si>
    <t>смешанное обучение: частично очно, частично дистанционно</t>
  </si>
  <si>
    <t>Взаимодействие с командой Корпоративного университета на протяжении всего периода обучения было эффективным</t>
  </si>
  <si>
    <t>аргументация</t>
  </si>
  <si>
    <t>все, правильная постановка вопроса, постановка вопроса в другой плоскости, способ заземлить спор</t>
  </si>
  <si>
    <t>всё нужно</t>
  </si>
  <si>
    <t>чем больше, тем лучше, дать каждому задать вопрос</t>
  </si>
  <si>
    <t>всё супер</t>
  </si>
  <si>
    <t>аргументация и ее типы</t>
  </si>
  <si>
    <t>типы и виды аргументации</t>
  </si>
  <si>
    <t>больше задач практических в группе</t>
  </si>
  <si>
    <t>раздаточный материал</t>
  </si>
  <si>
    <t>игры по темам</t>
  </si>
  <si>
    <t>хорошо организован каждый этап обучения</t>
  </si>
  <si>
    <t>Аргументация</t>
  </si>
  <si>
    <t>Аргументация 
Умение четко формулировать вопросы и ответы</t>
  </si>
  <si>
    <t>Все полезно</t>
  </si>
  <si>
    <t>Считаю, что вовлеченность была достаточная</t>
  </si>
  <si>
    <t>Понравился курс, интересная подача, много практических занятий.</t>
  </si>
  <si>
    <t>Актуальный были вопросы, связанные с темой мышления и аргументации.</t>
  </si>
  <si>
    <t>Все знания, умения и навыки применимы.</t>
  </si>
  <si>
    <t>Все темы, рассмотренные на данном курсе были полезны.</t>
  </si>
  <si>
    <t>Затрудняюсь ответить.</t>
  </si>
  <si>
    <t>Практические занятия достаточно полезны.</t>
  </si>
  <si>
    <t>Вовлеченность на занятие максимальная.</t>
  </si>
  <si>
    <t>Команда Корпоративного университета работает на высшем уровне!</t>
  </si>
  <si>
    <t>все</t>
  </si>
  <si>
    <t>+</t>
  </si>
  <si>
    <t>очень интересно</t>
  </si>
  <si>
    <t>причинно-следственная связь</t>
  </si>
  <si>
    <t>фильтрация аргументов</t>
  </si>
  <si>
    <t>есть возможность углубиться в заинтересовавшие меня темы</t>
  </si>
  <si>
    <t>оставить все как есть</t>
  </si>
  <si>
    <t>меньше людей</t>
  </si>
  <si>
    <t>жду материалы по теме на раб.почту</t>
  </si>
  <si>
    <t>аргументация, правильная постановка вопросов, взгляд с другой стороны</t>
  </si>
  <si>
    <t>все разделы лекционного курса актуальны и полезны</t>
  </si>
  <si>
    <t>дополнять не надо</t>
  </si>
  <si>
    <t>практические занятия полезные для деятельности</t>
  </si>
  <si>
    <t>вовлеченность была достаточная для восприятия</t>
  </si>
  <si>
    <t>интересный материал, доступный для восприятия и понимания, хорошие практические занятия</t>
  </si>
  <si>
    <t>инерция мышления, причинно-следственный анализ</t>
  </si>
  <si>
    <t>метод Киплинга (шесть слуг)</t>
  </si>
  <si>
    <t>темы актуальны и интересны, исключение не требуется</t>
  </si>
  <si>
    <t>больше видеоматериалов</t>
  </si>
  <si>
    <t>качественная организация взаимодействия</t>
  </si>
  <si>
    <t>мозговой штурм (умение быстро ориентироваться, думать, владеть языком, аргументировать)</t>
  </si>
  <si>
    <t>Ориентироваться в сложных ситуациях, умение общаться с гражданами, находящимися в ОЧЕНЬ эмоциональном состоянии, и гасить назревание возможного конфликта</t>
  </si>
  <si>
    <t>Все актуально</t>
  </si>
  <si>
    <t>работа со стрессом</t>
  </si>
  <si>
    <t>все устроило</t>
  </si>
  <si>
    <t>Больше времени на обучение</t>
  </si>
  <si>
    <t>методы принятия решений</t>
  </si>
  <si>
    <t>примеры относительно деятельности</t>
  </si>
  <si>
    <t>все отлично</t>
  </si>
  <si>
    <t>методы поиска решений</t>
  </si>
  <si>
    <t>по ситуации</t>
  </si>
  <si>
    <t>исключать не стоит. можно дополнить. программа очень короткая.</t>
  </si>
  <si>
    <t>хорошо больше внимания уделить решению задач.</t>
  </si>
  <si>
    <t>вопросный метод, метод ДАРИЗ и др.</t>
  </si>
  <si>
    <t>оптимизация подходов в постановке задач и поиске решений.</t>
  </si>
  <si>
    <t>например если в программе больше внимания уделить практике, решению задач.</t>
  </si>
  <si>
    <t>благодарю за обучение всех коллег которые организовали учебный процесс.</t>
  </si>
  <si>
    <t>Инструменты критического мышления</t>
  </si>
  <si>
    <t>Схемы алгоритмов</t>
  </si>
  <si>
    <t>.</t>
  </si>
  <si>
    <t>полезно всё</t>
  </si>
  <si>
    <t>Больше профессиональных примеров</t>
  </si>
  <si>
    <t>хорошо организовано</t>
  </si>
  <si>
    <t>инновационные примеры, новые разработки</t>
  </si>
  <si>
    <t>Коллегам была интересна эта тема</t>
  </si>
  <si>
    <t>инструменты решения нестандартных задач, оптимизация поиска новых решений и смыслов,
способы (схемы) аргументации для защиты новых предложений</t>
  </si>
  <si>
    <t>расширен понятийный аппарат, изучены конкретные методики (ДАРИЗ, анлиз модели задач, причинно-следственный анализ)</t>
  </si>
  <si>
    <t>На мой взгляд курс выстроен сбалансированно, имеет логичную структуру</t>
  </si>
  <si>
    <t>Применить методологию на конкретной рабочей задаче в части своей компетенции</t>
  </si>
  <si>
    <t>Клиентоориентированный подход во всем!</t>
  </si>
  <si>
    <t>ПСА</t>
  </si>
  <si>
    <t>общение с клиентами</t>
  </si>
  <si>
    <t>Психологическими</t>
  </si>
  <si>
    <t>Все прекрасно!</t>
  </si>
  <si>
    <t>Спасибо большое, все замечательно. Приятно посещать учебный ваш учебный центр.</t>
  </si>
  <si>
    <t>Критическое мышление, стресс, здоровье и умение придумывать ассоциации</t>
  </si>
  <si>
    <t>Принятие нестандартных, но  полезных решений</t>
  </si>
  <si>
    <t>Такие темы отсутствуют</t>
  </si>
  <si>
    <t>Чуть-чуть добавить теории и практики</t>
  </si>
  <si>
    <t>Изменений не вижу</t>
  </si>
  <si>
    <t>Интересные для себя темы</t>
  </si>
  <si>
    <t>Я всем крайне доволен</t>
  </si>
  <si>
    <t>Практические занятия</t>
  </si>
  <si>
    <t>Пока сложно сказать</t>
  </si>
  <si>
    <t>Всё оставить</t>
  </si>
  <si>
    <t>всё хорошо</t>
  </si>
  <si>
    <t>заменить онлайн режим на занятие в центре</t>
  </si>
  <si>
    <t>к концу дня</t>
  </si>
  <si>
    <t>трудно сказать</t>
  </si>
  <si>
    <t>хорошая организация</t>
  </si>
  <si>
    <t>Принятие эффективных решений всегда актуально во всех сферах</t>
  </si>
  <si>
    <t>умение анализировать, принимать решения и аргументировать их</t>
  </si>
  <si>
    <t>Уменьшение количества часов в один день</t>
  </si>
  <si>
    <t>полностью дистанционный формат обучения</t>
  </si>
  <si>
    <t>взаимодействие с командой Корпоративного университета проходит ежегодно на высшем уровне</t>
  </si>
  <si>
    <t>агрументационные схемы
Метод ДАРИЗ</t>
  </si>
  <si>
    <t>При обосновании позиции по многим вопросам в работе мне будут полезны агрументационные схемы
Метод ДАРИЗ заставил меня перевернуть взгляд на то, как можно решить проблему. Очень понравились рекомендации по литературе и другим ресурсам для развития в будущем</t>
  </si>
  <si>
    <t>все темы очень полезны</t>
  </si>
  <si>
    <t>можно еще добавить групповой практикум по аргументации ("живые дебаты"), на скорость, оригинальность идеи  и тд</t>
  </si>
  <si>
    <t>Спасибо большое за интересную и полезную информацию, полученную во время обучения</t>
  </si>
  <si>
    <t>поиск правильного решения</t>
  </si>
  <si>
    <t>рассуждение</t>
  </si>
  <si>
    <t>курс достаточно полон</t>
  </si>
  <si>
    <t>было интересно и все участвовали в процессе рассуждений</t>
  </si>
  <si>
    <t>актуально и полезно</t>
  </si>
  <si>
    <t>Вопросы нестандартного мышления</t>
  </si>
  <si>
    <t>Возможность решения сложных задач</t>
  </si>
  <si>
    <t>Не каких</t>
  </si>
  <si>
    <t>Все в полном объеме</t>
  </si>
  <si>
    <t>Не чего</t>
  </si>
  <si>
    <t>Был полностью вовлечен</t>
  </si>
  <si>
    <t>Все было очень интересно</t>
  </si>
  <si>
    <t>применение анализа</t>
  </si>
  <si>
    <t>больше практических примеров</t>
  </si>
  <si>
    <t>практические примеры</t>
  </si>
  <si>
    <t>достаточно вовлечены</t>
  </si>
  <si>
    <t>спасибо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</si>
</sst>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80" zoomScaleNormal="80" workbookViewId="0">
      <selection activeCell="A2" sqref="A2:B31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9"/>
      <c r="B2" s="9"/>
      <c r="C2" s="9" t="s">
        <v>33</v>
      </c>
      <c r="D2" s="10" t="s">
        <v>36</v>
      </c>
      <c r="E2" s="4">
        <v>10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4">
        <v>10</v>
      </c>
      <c r="M2" s="10" t="s">
        <v>62</v>
      </c>
      <c r="N2" s="10" t="s">
        <v>63</v>
      </c>
      <c r="O2" s="10" t="s">
        <v>63</v>
      </c>
      <c r="P2" s="4">
        <v>10</v>
      </c>
      <c r="Q2" s="10" t="s">
        <v>62</v>
      </c>
      <c r="R2" s="10" t="s">
        <v>63</v>
      </c>
      <c r="S2" s="10" t="s">
        <v>62</v>
      </c>
      <c r="T2" s="10" t="s">
        <v>63</v>
      </c>
      <c r="U2" s="10" t="s">
        <v>66</v>
      </c>
      <c r="V2" s="10" t="s">
        <v>63</v>
      </c>
      <c r="W2" s="10" t="s">
        <v>67</v>
      </c>
      <c r="X2" s="10" t="s">
        <v>68</v>
      </c>
      <c r="Y2" s="4">
        <v>10</v>
      </c>
      <c r="Z2" s="10" t="s">
        <v>69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9"/>
      <c r="B3" s="9"/>
      <c r="C3" s="9" t="s">
        <v>33</v>
      </c>
      <c r="D3" s="10" t="s">
        <v>37</v>
      </c>
      <c r="E3" s="4">
        <v>8</v>
      </c>
      <c r="F3" s="10" t="s">
        <v>70</v>
      </c>
      <c r="G3" s="10" t="s">
        <v>71</v>
      </c>
      <c r="H3" s="10" t="s">
        <v>62</v>
      </c>
      <c r="I3" s="10" t="s">
        <v>63</v>
      </c>
      <c r="J3" s="10" t="s">
        <v>63</v>
      </c>
      <c r="K3" s="10" t="s">
        <v>63</v>
      </c>
      <c r="L3" s="4">
        <v>10</v>
      </c>
      <c r="M3" s="10" t="s">
        <v>62</v>
      </c>
      <c r="N3" s="10" t="s">
        <v>63</v>
      </c>
      <c r="O3" s="10" t="s">
        <v>72</v>
      </c>
      <c r="P3" s="4">
        <v>8</v>
      </c>
      <c r="Q3" s="10" t="s">
        <v>62</v>
      </c>
      <c r="R3" s="10" t="s">
        <v>63</v>
      </c>
      <c r="S3" s="10" t="s">
        <v>62</v>
      </c>
      <c r="T3" s="10" t="s">
        <v>63</v>
      </c>
      <c r="U3" s="10" t="s">
        <v>66</v>
      </c>
      <c r="V3" s="10" t="s">
        <v>63</v>
      </c>
      <c r="W3" s="10" t="s">
        <v>73</v>
      </c>
      <c r="X3" s="10" t="s">
        <v>68</v>
      </c>
      <c r="Y3" s="4">
        <v>8</v>
      </c>
      <c r="Z3" s="10" t="s">
        <v>74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05" x14ac:dyDescent="0.25">
      <c r="A4" s="9"/>
      <c r="B4" s="9"/>
      <c r="C4" s="9" t="s">
        <v>34</v>
      </c>
      <c r="D4" s="10" t="s">
        <v>38</v>
      </c>
      <c r="E4" s="4">
        <v>6</v>
      </c>
      <c r="F4" s="10" t="s">
        <v>75</v>
      </c>
      <c r="G4" s="10" t="s">
        <v>76</v>
      </c>
      <c r="H4" s="10" t="s">
        <v>62</v>
      </c>
      <c r="I4" s="10" t="s">
        <v>63</v>
      </c>
      <c r="J4" s="10" t="s">
        <v>63</v>
      </c>
      <c r="K4" s="10" t="s">
        <v>63</v>
      </c>
      <c r="L4" s="4">
        <v>6</v>
      </c>
      <c r="M4" s="10" t="s">
        <v>62</v>
      </c>
      <c r="N4" s="10" t="s">
        <v>63</v>
      </c>
      <c r="O4" s="10" t="s">
        <v>77</v>
      </c>
      <c r="P4" s="4">
        <v>10</v>
      </c>
      <c r="Q4" s="10" t="s">
        <v>62</v>
      </c>
      <c r="R4" s="10" t="s">
        <v>63</v>
      </c>
      <c r="S4" s="10" t="s">
        <v>62</v>
      </c>
      <c r="T4" s="10" t="s">
        <v>63</v>
      </c>
      <c r="U4" s="10" t="s">
        <v>66</v>
      </c>
      <c r="V4" s="10" t="s">
        <v>63</v>
      </c>
      <c r="W4" s="10" t="s">
        <v>77</v>
      </c>
      <c r="X4" s="10" t="s">
        <v>78</v>
      </c>
      <c r="Y4" s="4">
        <v>10</v>
      </c>
      <c r="Z4" s="10" t="s">
        <v>79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x14ac:dyDescent="0.25">
      <c r="A5" s="9"/>
      <c r="B5" s="9"/>
      <c r="C5" s="9" t="s">
        <v>33</v>
      </c>
      <c r="D5" s="10" t="s">
        <v>39</v>
      </c>
      <c r="E5" s="4">
        <v>10</v>
      </c>
      <c r="F5" s="10" t="s">
        <v>80</v>
      </c>
      <c r="G5" s="10" t="s">
        <v>81</v>
      </c>
      <c r="H5" s="10" t="s">
        <v>62</v>
      </c>
      <c r="I5" s="10" t="s">
        <v>63</v>
      </c>
      <c r="J5" s="10" t="s">
        <v>82</v>
      </c>
      <c r="K5" s="10" t="s">
        <v>83</v>
      </c>
      <c r="L5" s="4">
        <v>10</v>
      </c>
      <c r="M5" s="10" t="s">
        <v>62</v>
      </c>
      <c r="N5" s="10" t="s">
        <v>63</v>
      </c>
      <c r="O5" s="10" t="s">
        <v>84</v>
      </c>
      <c r="P5" s="4">
        <v>10</v>
      </c>
      <c r="Q5" s="10" t="s">
        <v>62</v>
      </c>
      <c r="R5" s="10" t="s">
        <v>63</v>
      </c>
      <c r="S5" s="10" t="s">
        <v>62</v>
      </c>
      <c r="T5" s="10" t="s">
        <v>63</v>
      </c>
      <c r="U5" s="10" t="s">
        <v>66</v>
      </c>
      <c r="V5" s="10" t="s">
        <v>63</v>
      </c>
      <c r="W5" s="10" t="s">
        <v>84</v>
      </c>
      <c r="X5" s="10" t="s">
        <v>78</v>
      </c>
      <c r="Y5" s="4">
        <v>10</v>
      </c>
      <c r="Z5" s="10" t="s">
        <v>84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9"/>
      <c r="B6" s="9"/>
      <c r="C6" s="9" t="s">
        <v>33</v>
      </c>
      <c r="D6" s="10" t="s">
        <v>40</v>
      </c>
      <c r="E6" s="4">
        <v>10</v>
      </c>
      <c r="F6" s="10" t="s">
        <v>85</v>
      </c>
      <c r="G6" s="10" t="s">
        <v>86</v>
      </c>
      <c r="H6" s="10" t="s">
        <v>62</v>
      </c>
      <c r="I6" s="10" t="s">
        <v>63</v>
      </c>
      <c r="J6" s="10" t="s">
        <v>64</v>
      </c>
      <c r="K6" s="10" t="s">
        <v>87</v>
      </c>
      <c r="L6" s="4">
        <v>8</v>
      </c>
      <c r="M6" s="10" t="s">
        <v>62</v>
      </c>
      <c r="N6" s="10" t="s">
        <v>63</v>
      </c>
      <c r="O6" s="10" t="s">
        <v>88</v>
      </c>
      <c r="P6" s="4">
        <v>10</v>
      </c>
      <c r="Q6" s="10" t="s">
        <v>62</v>
      </c>
      <c r="R6" s="10" t="s">
        <v>63</v>
      </c>
      <c r="S6" s="10" t="s">
        <v>62</v>
      </c>
      <c r="T6" s="10" t="s">
        <v>63</v>
      </c>
      <c r="U6" s="10" t="s">
        <v>66</v>
      </c>
      <c r="V6" s="10" t="s">
        <v>63</v>
      </c>
      <c r="W6" s="10" t="s">
        <v>89</v>
      </c>
      <c r="X6" s="10" t="s">
        <v>78</v>
      </c>
      <c r="Y6" s="4">
        <v>10</v>
      </c>
      <c r="Z6" s="10" t="s">
        <v>90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9"/>
      <c r="C7" s="9" t="s">
        <v>35</v>
      </c>
      <c r="D7" s="10" t="s">
        <v>41</v>
      </c>
      <c r="E7" s="4">
        <v>8</v>
      </c>
      <c r="F7" s="10" t="s">
        <v>91</v>
      </c>
      <c r="G7" s="10" t="s">
        <v>92</v>
      </c>
      <c r="H7" s="10" t="s">
        <v>62</v>
      </c>
      <c r="I7" s="10" t="s">
        <v>63</v>
      </c>
      <c r="J7" s="10" t="s">
        <v>93</v>
      </c>
      <c r="K7" s="10" t="s">
        <v>63</v>
      </c>
      <c r="L7" s="4">
        <v>10</v>
      </c>
      <c r="M7" s="10" t="s">
        <v>62</v>
      </c>
      <c r="N7" s="10" t="s">
        <v>63</v>
      </c>
      <c r="O7" s="10" t="s">
        <v>63</v>
      </c>
      <c r="P7" s="4">
        <v>9</v>
      </c>
      <c r="Q7" s="10" t="s">
        <v>62</v>
      </c>
      <c r="R7" s="10" t="s">
        <v>63</v>
      </c>
      <c r="S7" s="10" t="s">
        <v>62</v>
      </c>
      <c r="T7" s="10" t="s">
        <v>63</v>
      </c>
      <c r="U7" s="10" t="s">
        <v>66</v>
      </c>
      <c r="V7" s="10" t="s">
        <v>63</v>
      </c>
      <c r="W7" s="10" t="s">
        <v>94</v>
      </c>
      <c r="X7" s="10" t="s">
        <v>68</v>
      </c>
      <c r="Y7" s="4">
        <v>10</v>
      </c>
      <c r="Z7" s="10" t="s">
        <v>95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9"/>
      <c r="B8" s="9"/>
      <c r="C8" s="9" t="s">
        <v>33</v>
      </c>
      <c r="D8" s="10" t="s">
        <v>42</v>
      </c>
      <c r="E8" s="4">
        <v>10</v>
      </c>
      <c r="F8" s="10" t="s">
        <v>96</v>
      </c>
      <c r="G8" s="10" t="s">
        <v>97</v>
      </c>
      <c r="H8" s="10" t="s">
        <v>62</v>
      </c>
      <c r="I8" s="10" t="s">
        <v>63</v>
      </c>
      <c r="J8" s="10" t="s">
        <v>98</v>
      </c>
      <c r="K8" s="10" t="s">
        <v>99</v>
      </c>
      <c r="L8" s="4">
        <v>10</v>
      </c>
      <c r="M8" s="10" t="s">
        <v>62</v>
      </c>
      <c r="N8" s="10" t="s">
        <v>63</v>
      </c>
      <c r="O8" s="10" t="s">
        <v>100</v>
      </c>
      <c r="P8" s="4">
        <v>10</v>
      </c>
      <c r="Q8" s="10" t="s">
        <v>62</v>
      </c>
      <c r="R8" s="10" t="s">
        <v>63</v>
      </c>
      <c r="S8" s="10" t="s">
        <v>62</v>
      </c>
      <c r="T8" s="10" t="s">
        <v>63</v>
      </c>
      <c r="U8" s="10" t="s">
        <v>66</v>
      </c>
      <c r="V8" s="10" t="s">
        <v>63</v>
      </c>
      <c r="W8" s="10" t="s">
        <v>101</v>
      </c>
      <c r="X8" s="10" t="s">
        <v>78</v>
      </c>
      <c r="Y8" s="4">
        <v>10</v>
      </c>
      <c r="Z8" s="10" t="s">
        <v>102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9"/>
      <c r="B9" s="9"/>
      <c r="C9" s="9" t="s">
        <v>33</v>
      </c>
      <c r="D9" s="10" t="s">
        <v>43</v>
      </c>
      <c r="E9" s="4">
        <v>10</v>
      </c>
      <c r="F9" s="10" t="s">
        <v>103</v>
      </c>
      <c r="G9" s="10" t="s">
        <v>103</v>
      </c>
      <c r="H9" s="10" t="s">
        <v>62</v>
      </c>
      <c r="I9" s="10" t="s">
        <v>104</v>
      </c>
      <c r="J9" s="10" t="s">
        <v>66</v>
      </c>
      <c r="K9" s="10" t="s">
        <v>66</v>
      </c>
      <c r="L9" s="4">
        <v>10</v>
      </c>
      <c r="M9" s="10" t="s">
        <v>62</v>
      </c>
      <c r="N9" s="10" t="s">
        <v>104</v>
      </c>
      <c r="O9" s="10" t="s">
        <v>66</v>
      </c>
      <c r="P9" s="4">
        <v>10</v>
      </c>
      <c r="Q9" s="10" t="s">
        <v>62</v>
      </c>
      <c r="R9" s="10" t="s">
        <v>104</v>
      </c>
      <c r="S9" s="10" t="s">
        <v>62</v>
      </c>
      <c r="T9" s="10" t="s">
        <v>104</v>
      </c>
      <c r="U9" s="10" t="s">
        <v>66</v>
      </c>
      <c r="V9" s="10" t="s">
        <v>104</v>
      </c>
      <c r="W9" s="10" t="s">
        <v>104</v>
      </c>
      <c r="X9" s="10" t="s">
        <v>68</v>
      </c>
      <c r="Y9" s="4">
        <v>10</v>
      </c>
      <c r="Z9" s="10" t="s">
        <v>105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9"/>
      <c r="B10" s="9"/>
      <c r="C10" s="9" t="s">
        <v>33</v>
      </c>
      <c r="D10" s="10" t="s">
        <v>44</v>
      </c>
      <c r="E10" s="4">
        <v>8</v>
      </c>
      <c r="F10" s="10" t="s">
        <v>106</v>
      </c>
      <c r="G10" s="10" t="s">
        <v>107</v>
      </c>
      <c r="H10" s="10" t="s">
        <v>62</v>
      </c>
      <c r="I10" s="10" t="s">
        <v>108</v>
      </c>
      <c r="J10" s="10" t="s">
        <v>109</v>
      </c>
      <c r="K10" s="10" t="s">
        <v>63</v>
      </c>
      <c r="L10" s="4">
        <v>8</v>
      </c>
      <c r="M10" s="10" t="s">
        <v>62</v>
      </c>
      <c r="N10" s="10" t="s">
        <v>63</v>
      </c>
      <c r="O10" s="10" t="s">
        <v>63</v>
      </c>
      <c r="P10" s="4">
        <v>9</v>
      </c>
      <c r="Q10" s="10" t="s">
        <v>62</v>
      </c>
      <c r="R10" s="10" t="s">
        <v>63</v>
      </c>
      <c r="S10" s="10" t="s">
        <v>62</v>
      </c>
      <c r="T10" s="10" t="s">
        <v>63</v>
      </c>
      <c r="U10" s="10" t="s">
        <v>66</v>
      </c>
      <c r="V10" s="10" t="s">
        <v>63</v>
      </c>
      <c r="W10" s="10" t="s">
        <v>110</v>
      </c>
      <c r="X10" s="10" t="s">
        <v>68</v>
      </c>
      <c r="Y10" s="4">
        <v>9</v>
      </c>
      <c r="Z10" s="10" t="s">
        <v>111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75" x14ac:dyDescent="0.25">
      <c r="A11" s="9"/>
      <c r="B11" s="9"/>
      <c r="C11" s="9" t="s">
        <v>35</v>
      </c>
      <c r="D11" s="10" t="s">
        <v>45</v>
      </c>
      <c r="E11" s="4">
        <v>7</v>
      </c>
      <c r="F11" s="10" t="s">
        <v>80</v>
      </c>
      <c r="G11" s="10" t="s">
        <v>112</v>
      </c>
      <c r="H11" s="10" t="s">
        <v>62</v>
      </c>
      <c r="I11" s="10" t="s">
        <v>63</v>
      </c>
      <c r="J11" s="10" t="s">
        <v>113</v>
      </c>
      <c r="K11" s="10" t="s">
        <v>114</v>
      </c>
      <c r="L11" s="4">
        <v>10</v>
      </c>
      <c r="M11" s="10" t="s">
        <v>62</v>
      </c>
      <c r="N11" s="10" t="s">
        <v>63</v>
      </c>
      <c r="O11" s="10" t="s">
        <v>115</v>
      </c>
      <c r="P11" s="4">
        <v>10</v>
      </c>
      <c r="Q11" s="10" t="s">
        <v>62</v>
      </c>
      <c r="R11" s="10" t="s">
        <v>63</v>
      </c>
      <c r="S11" s="10" t="s">
        <v>62</v>
      </c>
      <c r="T11" s="10" t="s">
        <v>63</v>
      </c>
      <c r="U11" s="10" t="s">
        <v>66</v>
      </c>
      <c r="V11" s="10" t="s">
        <v>63</v>
      </c>
      <c r="W11" s="10" t="s">
        <v>116</v>
      </c>
      <c r="X11" s="10" t="s">
        <v>68</v>
      </c>
      <c r="Y11" s="4">
        <v>10</v>
      </c>
      <c r="Z11" s="10" t="s">
        <v>117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75" x14ac:dyDescent="0.25">
      <c r="A12" s="9"/>
      <c r="B12" s="9"/>
      <c r="C12" s="9" t="s">
        <v>33</v>
      </c>
      <c r="D12" s="10" t="s">
        <v>46</v>
      </c>
      <c r="E12" s="4">
        <v>5</v>
      </c>
      <c r="F12" s="10" t="s">
        <v>118</v>
      </c>
      <c r="G12" s="10" t="s">
        <v>119</v>
      </c>
      <c r="H12" s="10" t="s">
        <v>62</v>
      </c>
      <c r="I12" s="10" t="s">
        <v>63</v>
      </c>
      <c r="J12" s="10" t="s">
        <v>120</v>
      </c>
      <c r="K12" s="10" t="s">
        <v>63</v>
      </c>
      <c r="L12" s="4">
        <v>10</v>
      </c>
      <c r="M12" s="10" t="s">
        <v>62</v>
      </c>
      <c r="N12" s="10" t="s">
        <v>63</v>
      </c>
      <c r="O12" s="10" t="s">
        <v>121</v>
      </c>
      <c r="P12" s="4">
        <v>8</v>
      </c>
      <c r="Q12" s="10" t="s">
        <v>62</v>
      </c>
      <c r="R12" s="10" t="s">
        <v>63</v>
      </c>
      <c r="S12" s="10" t="s">
        <v>62</v>
      </c>
      <c r="T12" s="10" t="s">
        <v>63</v>
      </c>
      <c r="U12" s="10" t="s">
        <v>66</v>
      </c>
      <c r="V12" s="10" t="s">
        <v>63</v>
      </c>
      <c r="W12" s="10" t="s">
        <v>63</v>
      </c>
      <c r="X12" s="10" t="s">
        <v>68</v>
      </c>
      <c r="Y12" s="4">
        <v>10</v>
      </c>
      <c r="Z12" s="10" t="s">
        <v>122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20" x14ac:dyDescent="0.25">
      <c r="A13" s="9"/>
      <c r="B13" s="9"/>
      <c r="C13" s="9" t="s">
        <v>33</v>
      </c>
      <c r="D13" s="10" t="s">
        <v>47</v>
      </c>
      <c r="E13" s="4">
        <v>10</v>
      </c>
      <c r="F13" s="10" t="s">
        <v>123</v>
      </c>
      <c r="G13" s="10" t="s">
        <v>124</v>
      </c>
      <c r="H13" s="10" t="s">
        <v>62</v>
      </c>
      <c r="I13" s="10" t="s">
        <v>63</v>
      </c>
      <c r="J13" s="10" t="s">
        <v>125</v>
      </c>
      <c r="K13" s="10" t="s">
        <v>126</v>
      </c>
      <c r="L13" s="4">
        <v>10</v>
      </c>
      <c r="M13" s="10" t="s">
        <v>62</v>
      </c>
      <c r="N13" s="10" t="s">
        <v>63</v>
      </c>
      <c r="O13" s="10" t="s">
        <v>127</v>
      </c>
      <c r="P13" s="4">
        <v>9</v>
      </c>
      <c r="Q13" s="10" t="s">
        <v>62</v>
      </c>
      <c r="R13" s="10" t="s">
        <v>63</v>
      </c>
      <c r="S13" s="10" t="s">
        <v>62</v>
      </c>
      <c r="T13" s="10" t="s">
        <v>63</v>
      </c>
      <c r="U13" s="10" t="s">
        <v>66</v>
      </c>
      <c r="V13" s="10" t="s">
        <v>63</v>
      </c>
      <c r="W13" s="10" t="s">
        <v>128</v>
      </c>
      <c r="X13" s="10" t="s">
        <v>68</v>
      </c>
      <c r="Y13" s="4">
        <v>10</v>
      </c>
      <c r="Z13" s="10" t="s">
        <v>63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9"/>
      <c r="B14" s="9"/>
      <c r="C14" s="9" t="s">
        <v>33</v>
      </c>
      <c r="D14" s="10" t="s">
        <v>48</v>
      </c>
      <c r="E14" s="4">
        <v>5</v>
      </c>
      <c r="F14" s="10" t="s">
        <v>129</v>
      </c>
      <c r="G14" s="10" t="s">
        <v>103</v>
      </c>
      <c r="H14" s="10" t="s">
        <v>62</v>
      </c>
      <c r="I14" s="10" t="s">
        <v>63</v>
      </c>
      <c r="J14" s="10" t="s">
        <v>63</v>
      </c>
      <c r="K14" s="10" t="s">
        <v>65</v>
      </c>
      <c r="L14" s="4">
        <v>10</v>
      </c>
      <c r="M14" s="10" t="s">
        <v>62</v>
      </c>
      <c r="N14" s="10" t="s">
        <v>63</v>
      </c>
      <c r="O14" s="10" t="s">
        <v>130</v>
      </c>
      <c r="P14" s="4">
        <v>10</v>
      </c>
      <c r="Q14" s="10" t="s">
        <v>62</v>
      </c>
      <c r="R14" s="10" t="s">
        <v>63</v>
      </c>
      <c r="S14" s="10" t="s">
        <v>62</v>
      </c>
      <c r="T14" s="10" t="s">
        <v>63</v>
      </c>
      <c r="U14" s="10" t="s">
        <v>66</v>
      </c>
      <c r="V14" s="10" t="s">
        <v>63</v>
      </c>
      <c r="W14" s="10" t="s">
        <v>63</v>
      </c>
      <c r="X14" s="10" t="s">
        <v>68</v>
      </c>
      <c r="Y14" s="4">
        <v>9</v>
      </c>
      <c r="Z14" s="10" t="s">
        <v>131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75" x14ac:dyDescent="0.25">
      <c r="A15" s="9"/>
      <c r="B15" s="9"/>
      <c r="C15" s="9" t="s">
        <v>33</v>
      </c>
      <c r="D15" s="10" t="s">
        <v>49</v>
      </c>
      <c r="E15" s="4">
        <v>5</v>
      </c>
      <c r="F15" s="10" t="s">
        <v>132</v>
      </c>
      <c r="G15" s="10" t="s">
        <v>133</v>
      </c>
      <c r="H15" s="10" t="s">
        <v>62</v>
      </c>
      <c r="I15" s="10" t="s">
        <v>63</v>
      </c>
      <c r="J15" s="10" t="s">
        <v>134</v>
      </c>
      <c r="K15" s="10" t="s">
        <v>135</v>
      </c>
      <c r="L15" s="4">
        <v>5</v>
      </c>
      <c r="M15" s="10" t="s">
        <v>66</v>
      </c>
      <c r="N15" s="10" t="s">
        <v>136</v>
      </c>
      <c r="O15" s="10" t="s">
        <v>137</v>
      </c>
      <c r="P15" s="4">
        <v>5</v>
      </c>
      <c r="Q15" s="10" t="s">
        <v>62</v>
      </c>
      <c r="R15" s="10" t="s">
        <v>63</v>
      </c>
      <c r="S15" s="10" t="s">
        <v>62</v>
      </c>
      <c r="T15" s="10" t="s">
        <v>63</v>
      </c>
      <c r="U15" s="10" t="s">
        <v>66</v>
      </c>
      <c r="V15" s="10" t="s">
        <v>63</v>
      </c>
      <c r="W15" s="10" t="s">
        <v>138</v>
      </c>
      <c r="X15" s="10" t="s">
        <v>68</v>
      </c>
      <c r="Y15" s="4">
        <v>7</v>
      </c>
      <c r="Z15" s="10" t="s">
        <v>139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9"/>
      <c r="C16" s="9" t="s">
        <v>33</v>
      </c>
      <c r="D16" s="10" t="s">
        <v>50</v>
      </c>
      <c r="E16" s="4">
        <v>10</v>
      </c>
      <c r="F16" s="10" t="s">
        <v>140</v>
      </c>
      <c r="G16" s="10" t="s">
        <v>141</v>
      </c>
      <c r="H16" s="10" t="s">
        <v>62</v>
      </c>
      <c r="I16" s="10" t="s">
        <v>142</v>
      </c>
      <c r="J16" s="10" t="s">
        <v>143</v>
      </c>
      <c r="K16" s="10" t="s">
        <v>144</v>
      </c>
      <c r="L16" s="4">
        <v>10</v>
      </c>
      <c r="M16" s="10" t="s">
        <v>62</v>
      </c>
      <c r="N16" s="10" t="s">
        <v>63</v>
      </c>
      <c r="O16" s="10" t="s">
        <v>145</v>
      </c>
      <c r="P16" s="4">
        <v>10</v>
      </c>
      <c r="Q16" s="10" t="s">
        <v>62</v>
      </c>
      <c r="R16" s="10" t="s">
        <v>63</v>
      </c>
      <c r="S16" s="10" t="s">
        <v>62</v>
      </c>
      <c r="T16" s="10" t="s">
        <v>63</v>
      </c>
      <c r="U16" s="10" t="s">
        <v>66</v>
      </c>
      <c r="V16" s="10" t="s">
        <v>63</v>
      </c>
      <c r="W16" s="10" t="s">
        <v>146</v>
      </c>
      <c r="X16" s="10" t="s">
        <v>68</v>
      </c>
      <c r="Y16" s="4">
        <v>10</v>
      </c>
      <c r="Z16" s="10" t="s">
        <v>147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05" x14ac:dyDescent="0.25">
      <c r="A17" s="9"/>
      <c r="B17" s="9"/>
      <c r="C17" s="9" t="s">
        <v>33</v>
      </c>
      <c r="D17" s="10" t="s">
        <v>51</v>
      </c>
      <c r="E17" s="4">
        <v>8</v>
      </c>
      <c r="F17" s="10" t="s">
        <v>148</v>
      </c>
      <c r="G17" s="10" t="s">
        <v>149</v>
      </c>
      <c r="H17" s="10" t="s">
        <v>62</v>
      </c>
      <c r="I17" s="10" t="s">
        <v>63</v>
      </c>
      <c r="J17" s="10" t="s">
        <v>150</v>
      </c>
      <c r="K17" s="10" t="s">
        <v>150</v>
      </c>
      <c r="L17" s="4">
        <v>8</v>
      </c>
      <c r="M17" s="4" t="s">
        <v>62</v>
      </c>
      <c r="N17" s="10" t="s">
        <v>63</v>
      </c>
      <c r="O17" s="10" t="s">
        <v>151</v>
      </c>
      <c r="P17" s="4">
        <v>10</v>
      </c>
      <c r="Q17" s="4" t="s">
        <v>62</v>
      </c>
      <c r="R17" s="10" t="s">
        <v>63</v>
      </c>
      <c r="S17" s="4" t="s">
        <v>62</v>
      </c>
      <c r="T17" s="10" t="s">
        <v>63</v>
      </c>
      <c r="U17" s="4" t="s">
        <v>66</v>
      </c>
      <c r="V17" s="10" t="s">
        <v>63</v>
      </c>
      <c r="W17" s="10" t="s">
        <v>63</v>
      </c>
      <c r="X17" s="10" t="s">
        <v>68</v>
      </c>
      <c r="Y17" s="4">
        <v>10</v>
      </c>
      <c r="Z17" s="10" t="s">
        <v>152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9"/>
      <c r="B18" s="9"/>
      <c r="C18" s="9" t="s">
        <v>33</v>
      </c>
      <c r="D18" s="10" t="s">
        <v>52</v>
      </c>
      <c r="E18" s="4">
        <v>10</v>
      </c>
      <c r="F18" s="10" t="s">
        <v>153</v>
      </c>
      <c r="G18" s="10" t="s">
        <v>154</v>
      </c>
      <c r="H18" s="10" t="s">
        <v>62</v>
      </c>
      <c r="I18" s="10" t="s">
        <v>63</v>
      </c>
      <c r="J18" s="10" t="s">
        <v>63</v>
      </c>
      <c r="K18" s="10" t="s">
        <v>155</v>
      </c>
      <c r="L18" s="4">
        <v>10</v>
      </c>
      <c r="M18" s="4" t="s">
        <v>62</v>
      </c>
      <c r="N18" s="10" t="s">
        <v>63</v>
      </c>
      <c r="O18" s="10" t="s">
        <v>63</v>
      </c>
      <c r="P18" s="4">
        <v>10</v>
      </c>
      <c r="Q18" s="4" t="s">
        <v>62</v>
      </c>
      <c r="R18" s="10" t="s">
        <v>63</v>
      </c>
      <c r="S18" s="4" t="s">
        <v>62</v>
      </c>
      <c r="T18" s="10" t="s">
        <v>63</v>
      </c>
      <c r="U18" s="4" t="s">
        <v>66</v>
      </c>
      <c r="V18" s="10" t="s">
        <v>63</v>
      </c>
      <c r="W18" s="10" t="s">
        <v>156</v>
      </c>
      <c r="X18" s="10" t="s">
        <v>78</v>
      </c>
      <c r="Y18" s="4">
        <v>10</v>
      </c>
      <c r="Z18" s="10" t="s">
        <v>157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x14ac:dyDescent="0.25">
      <c r="A19" s="9"/>
      <c r="B19" s="9"/>
      <c r="C19" s="9" t="s">
        <v>33</v>
      </c>
      <c r="D19" s="10" t="s">
        <v>53</v>
      </c>
      <c r="E19" s="4">
        <v>10</v>
      </c>
      <c r="F19" s="10" t="s">
        <v>158</v>
      </c>
      <c r="G19" s="10" t="s">
        <v>159</v>
      </c>
      <c r="H19" s="10" t="s">
        <v>62</v>
      </c>
      <c r="I19" s="10" t="s">
        <v>63</v>
      </c>
      <c r="J19" s="10" t="s">
        <v>160</v>
      </c>
      <c r="K19" s="10" t="s">
        <v>161</v>
      </c>
      <c r="L19" s="4">
        <v>10</v>
      </c>
      <c r="M19" s="4" t="s">
        <v>62</v>
      </c>
      <c r="N19" s="10" t="s">
        <v>63</v>
      </c>
      <c r="O19" s="10" t="s">
        <v>162</v>
      </c>
      <c r="P19" s="4">
        <v>10</v>
      </c>
      <c r="Q19" s="4" t="s">
        <v>62</v>
      </c>
      <c r="R19" s="10" t="s">
        <v>63</v>
      </c>
      <c r="S19" s="4" t="s">
        <v>62</v>
      </c>
      <c r="T19" s="10" t="s">
        <v>63</v>
      </c>
      <c r="U19" s="4" t="s">
        <v>66</v>
      </c>
      <c r="V19" s="10" t="s">
        <v>63</v>
      </c>
      <c r="W19" s="10" t="s">
        <v>163</v>
      </c>
      <c r="X19" s="10" t="s">
        <v>68</v>
      </c>
      <c r="Y19" s="4">
        <v>10</v>
      </c>
      <c r="Z19" s="10" t="s">
        <v>164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9"/>
      <c r="B20" s="9"/>
      <c r="C20" s="9" t="s">
        <v>35</v>
      </c>
      <c r="D20" s="10" t="s">
        <v>54</v>
      </c>
      <c r="E20" s="4">
        <v>6</v>
      </c>
      <c r="F20" s="10" t="s">
        <v>165</v>
      </c>
      <c r="G20" s="10" t="s">
        <v>166</v>
      </c>
      <c r="H20" s="10" t="s">
        <v>62</v>
      </c>
      <c r="I20" s="10" t="s">
        <v>63</v>
      </c>
      <c r="J20" s="10" t="s">
        <v>167</v>
      </c>
      <c r="K20" s="10" t="s">
        <v>168</v>
      </c>
      <c r="L20" s="4">
        <v>9</v>
      </c>
      <c r="M20" s="4" t="s">
        <v>62</v>
      </c>
      <c r="N20" s="10" t="s">
        <v>63</v>
      </c>
      <c r="O20" s="10" t="s">
        <v>169</v>
      </c>
      <c r="P20" s="4">
        <v>9</v>
      </c>
      <c r="Q20" s="4" t="s">
        <v>62</v>
      </c>
      <c r="R20" s="10" t="s">
        <v>63</v>
      </c>
      <c r="S20" s="4" t="s">
        <v>62</v>
      </c>
      <c r="T20" s="10" t="s">
        <v>63</v>
      </c>
      <c r="U20" s="4" t="s">
        <v>62</v>
      </c>
      <c r="V20" s="10" t="s">
        <v>170</v>
      </c>
      <c r="W20" s="10" t="s">
        <v>171</v>
      </c>
      <c r="X20" s="10" t="s">
        <v>68</v>
      </c>
      <c r="Y20" s="4">
        <v>10</v>
      </c>
      <c r="Z20" s="10" t="s">
        <v>172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90" x14ac:dyDescent="0.25">
      <c r="A21" s="9"/>
      <c r="B21" s="9"/>
      <c r="C21" s="9" t="s">
        <v>33</v>
      </c>
      <c r="D21" s="10" t="s">
        <v>41</v>
      </c>
      <c r="E21" s="4">
        <v>9</v>
      </c>
      <c r="F21" s="10" t="s">
        <v>173</v>
      </c>
      <c r="G21" s="10" t="s">
        <v>174</v>
      </c>
      <c r="H21" s="10" t="s">
        <v>62</v>
      </c>
      <c r="I21" s="10" t="s">
        <v>63</v>
      </c>
      <c r="J21" s="10" t="s">
        <v>63</v>
      </c>
      <c r="K21" s="10" t="s">
        <v>63</v>
      </c>
      <c r="L21" s="4">
        <v>10</v>
      </c>
      <c r="M21" s="4" t="s">
        <v>62</v>
      </c>
      <c r="N21" s="10" t="s">
        <v>63</v>
      </c>
      <c r="O21" s="10" t="s">
        <v>63</v>
      </c>
      <c r="P21" s="4">
        <v>10</v>
      </c>
      <c r="Q21" s="4" t="s">
        <v>62</v>
      </c>
      <c r="R21" s="10" t="s">
        <v>63</v>
      </c>
      <c r="S21" s="4" t="s">
        <v>62</v>
      </c>
      <c r="T21" s="10" t="s">
        <v>63</v>
      </c>
      <c r="U21" s="4" t="s">
        <v>66</v>
      </c>
      <c r="V21" s="10" t="s">
        <v>63</v>
      </c>
      <c r="W21" s="10" t="s">
        <v>175</v>
      </c>
      <c r="X21" s="10" t="s">
        <v>176</v>
      </c>
      <c r="Y21" s="4">
        <v>10</v>
      </c>
      <c r="Z21" s="10" t="s">
        <v>177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195" x14ac:dyDescent="0.25">
      <c r="A22" s="9"/>
      <c r="B22" s="9"/>
      <c r="C22" s="9" t="s">
        <v>35</v>
      </c>
      <c r="D22" s="10" t="s">
        <v>55</v>
      </c>
      <c r="E22" s="4">
        <v>10</v>
      </c>
      <c r="F22" s="10" t="s">
        <v>178</v>
      </c>
      <c r="G22" s="10" t="s">
        <v>179</v>
      </c>
      <c r="H22" s="10" t="s">
        <v>62</v>
      </c>
      <c r="I22" s="10" t="s">
        <v>63</v>
      </c>
      <c r="J22" s="10" t="s">
        <v>180</v>
      </c>
      <c r="K22" s="10" t="s">
        <v>63</v>
      </c>
      <c r="L22" s="4">
        <v>10</v>
      </c>
      <c r="M22" s="4" t="s">
        <v>62</v>
      </c>
      <c r="N22" s="10" t="s">
        <v>63</v>
      </c>
      <c r="O22" s="10" t="s">
        <v>181</v>
      </c>
      <c r="P22" s="4">
        <v>10</v>
      </c>
      <c r="Q22" s="4" t="s">
        <v>62</v>
      </c>
      <c r="R22" s="10" t="s">
        <v>63</v>
      </c>
      <c r="S22" s="4" t="s">
        <v>62</v>
      </c>
      <c r="T22" s="10" t="s">
        <v>63</v>
      </c>
      <c r="U22" s="4" t="s">
        <v>66</v>
      </c>
      <c r="V22" s="10" t="s">
        <v>63</v>
      </c>
      <c r="W22" s="10" t="s">
        <v>63</v>
      </c>
      <c r="X22" s="10" t="s">
        <v>68</v>
      </c>
      <c r="Y22" s="4">
        <v>10</v>
      </c>
      <c r="Z22" s="10" t="s">
        <v>182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9"/>
      <c r="B23" s="9"/>
      <c r="C23" s="9" t="s">
        <v>33</v>
      </c>
      <c r="D23" s="10" t="s">
        <v>56</v>
      </c>
      <c r="E23" s="4">
        <v>10</v>
      </c>
      <c r="F23" s="10" t="s">
        <v>183</v>
      </c>
      <c r="G23" s="10" t="s">
        <v>184</v>
      </c>
      <c r="H23" s="10" t="s">
        <v>62</v>
      </c>
      <c r="I23" s="10" t="s">
        <v>63</v>
      </c>
      <c r="J23" s="10" t="s">
        <v>63</v>
      </c>
      <c r="K23" s="10" t="s">
        <v>185</v>
      </c>
      <c r="L23" s="4">
        <v>10</v>
      </c>
      <c r="M23" s="4" t="s">
        <v>62</v>
      </c>
      <c r="N23" s="10" t="s">
        <v>63</v>
      </c>
      <c r="O23" s="10" t="s">
        <v>63</v>
      </c>
      <c r="P23" s="4">
        <v>10</v>
      </c>
      <c r="Q23" s="4" t="s">
        <v>62</v>
      </c>
      <c r="R23" s="10" t="s">
        <v>63</v>
      </c>
      <c r="S23" s="4" t="s">
        <v>62</v>
      </c>
      <c r="T23" s="10" t="s">
        <v>63</v>
      </c>
      <c r="U23" s="4" t="s">
        <v>66</v>
      </c>
      <c r="V23" s="10" t="s">
        <v>63</v>
      </c>
      <c r="W23" s="10" t="s">
        <v>186</v>
      </c>
      <c r="X23" s="10" t="s">
        <v>68</v>
      </c>
      <c r="Y23" s="4">
        <v>10</v>
      </c>
      <c r="Z23" s="10" t="s">
        <v>187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9"/>
      <c r="B24" s="9"/>
      <c r="C24" s="9" t="s">
        <v>35</v>
      </c>
      <c r="D24" s="10" t="s">
        <v>57</v>
      </c>
      <c r="E24" s="4">
        <v>10</v>
      </c>
      <c r="F24" s="10" t="s">
        <v>188</v>
      </c>
      <c r="G24" s="10" t="s">
        <v>189</v>
      </c>
      <c r="H24" s="10" t="s">
        <v>62</v>
      </c>
      <c r="I24" s="10" t="s">
        <v>63</v>
      </c>
      <c r="J24" s="10" t="s">
        <v>190</v>
      </c>
      <c r="K24" s="10" t="s">
        <v>191</v>
      </c>
      <c r="L24" s="4">
        <v>10</v>
      </c>
      <c r="M24" s="4" t="s">
        <v>62</v>
      </c>
      <c r="N24" s="10" t="s">
        <v>63</v>
      </c>
      <c r="O24" s="10" t="s">
        <v>192</v>
      </c>
      <c r="P24" s="4">
        <v>10</v>
      </c>
      <c r="Q24" s="4" t="s">
        <v>62</v>
      </c>
      <c r="R24" s="10" t="s">
        <v>63</v>
      </c>
      <c r="S24" s="4" t="s">
        <v>62</v>
      </c>
      <c r="T24" s="10" t="s">
        <v>63</v>
      </c>
      <c r="U24" s="4" t="s">
        <v>66</v>
      </c>
      <c r="V24" s="10" t="s">
        <v>63</v>
      </c>
      <c r="W24" s="10" t="s">
        <v>193</v>
      </c>
      <c r="X24" s="10" t="s">
        <v>78</v>
      </c>
      <c r="Y24" s="4">
        <v>10</v>
      </c>
      <c r="Z24" s="10" t="s">
        <v>194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9"/>
      <c r="B25" s="9"/>
      <c r="C25" s="9" t="s">
        <v>35</v>
      </c>
      <c r="D25" s="10" t="s">
        <v>58</v>
      </c>
      <c r="E25" s="4">
        <v>8</v>
      </c>
      <c r="F25" s="10" t="s">
        <v>80</v>
      </c>
      <c r="G25" s="10" t="s">
        <v>195</v>
      </c>
      <c r="H25" s="10" t="s">
        <v>62</v>
      </c>
      <c r="I25" s="10" t="s">
        <v>63</v>
      </c>
      <c r="J25" s="10" t="s">
        <v>64</v>
      </c>
      <c r="K25" s="10" t="s">
        <v>196</v>
      </c>
      <c r="L25" s="4">
        <v>8</v>
      </c>
      <c r="M25" s="4" t="s">
        <v>62</v>
      </c>
      <c r="N25" s="10" t="s">
        <v>63</v>
      </c>
      <c r="O25" s="10" t="s">
        <v>197</v>
      </c>
      <c r="P25" s="4">
        <v>10</v>
      </c>
      <c r="Q25" s="4" t="s">
        <v>62</v>
      </c>
      <c r="R25" s="10" t="s">
        <v>63</v>
      </c>
      <c r="S25" s="4" t="s">
        <v>62</v>
      </c>
      <c r="T25" s="10" t="s">
        <v>63</v>
      </c>
      <c r="U25" s="4" t="s">
        <v>66</v>
      </c>
      <c r="V25" s="10" t="s">
        <v>63</v>
      </c>
      <c r="W25" s="10" t="s">
        <v>198</v>
      </c>
      <c r="X25" s="10" t="s">
        <v>68</v>
      </c>
      <c r="Y25" s="4">
        <v>10</v>
      </c>
      <c r="Z25" s="10" t="s">
        <v>199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9"/>
      <c r="B26" s="9"/>
      <c r="C26" s="9" t="s">
        <v>33</v>
      </c>
      <c r="D26" s="10" t="s">
        <v>59</v>
      </c>
      <c r="E26" s="4">
        <v>5</v>
      </c>
      <c r="F26" s="10" t="s">
        <v>63</v>
      </c>
      <c r="G26" s="10" t="s">
        <v>63</v>
      </c>
      <c r="H26" s="10" t="s">
        <v>66</v>
      </c>
      <c r="I26" s="10" t="s">
        <v>63</v>
      </c>
      <c r="J26" s="10" t="s">
        <v>63</v>
      </c>
      <c r="K26" s="10" t="s">
        <v>63</v>
      </c>
      <c r="L26" s="4">
        <v>3</v>
      </c>
      <c r="M26" s="4" t="s">
        <v>66</v>
      </c>
      <c r="N26" s="10" t="s">
        <v>63</v>
      </c>
      <c r="O26" s="10" t="s">
        <v>63</v>
      </c>
      <c r="P26" s="4">
        <v>3</v>
      </c>
      <c r="Q26" s="4" t="s">
        <v>66</v>
      </c>
      <c r="R26" s="10" t="s">
        <v>63</v>
      </c>
      <c r="S26" s="4" t="s">
        <v>66</v>
      </c>
      <c r="T26" s="10" t="s">
        <v>63</v>
      </c>
      <c r="U26" s="4" t="s">
        <v>62</v>
      </c>
      <c r="V26" s="10" t="s">
        <v>63</v>
      </c>
      <c r="W26" s="10" t="s">
        <v>63</v>
      </c>
      <c r="X26" s="10" t="s">
        <v>68</v>
      </c>
      <c r="Y26" s="4">
        <v>5</v>
      </c>
      <c r="Z26" s="10" t="s">
        <v>63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N12" sqref="N12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8.32</v>
      </c>
      <c r="C4" s="8">
        <f>AVERAGE('Исходные данные (итог. анкета)'!L:L)</f>
        <v>9</v>
      </c>
      <c r="D4" s="8">
        <f>AVERAGE('Исходные данные (итог. анкета)'!P:P)</f>
        <v>9.1999999999999993</v>
      </c>
      <c r="E4" s="7">
        <f>COUNTIF('Исходные данные (итог. анкета)'!U:U,"нет")/COUNTA('Исходные данные (итог. анкета)'!U2:U499)</f>
        <v>0.92</v>
      </c>
      <c r="F4" s="8">
        <f>AVERAGE('Исходные данные (итог. анкета)'!Y:Y)</f>
        <v>9.52</v>
      </c>
      <c r="G4" s="4">
        <f>AVERAGE(B4:D4,F4)</f>
        <v>9.01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2026-07-01T09:42:25Z</dcterms:modified>
</cp:coreProperties>
</file>