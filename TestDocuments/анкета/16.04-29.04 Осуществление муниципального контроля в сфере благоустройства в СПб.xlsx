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<sst xmlns="http://schemas.openxmlformats.org/spreadsheetml/2006/main" count="533" uniqueCount="191">
  <si>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</si>
  <si>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</si>
  <si>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</si>
  <si>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</si>
  <si>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</si>
  <si>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</si>
  <si>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</si>
  <si>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</si>
  <si>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</si>
  <si>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</si>
  <si>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</si>
  <si>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</si>
  <si>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</si>
  <si>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</si>
  <si>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</si>
  <si>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</si>
  <si>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</si>
  <si>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</si>
  <si>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</si>
  <si>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</si>
  <si>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</si>
  <si>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</si>
  <si>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</si>
  <si>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</si>
  <si>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</si>
  <si>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</si>
  <si>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</si>
  <si>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</si>
  <si>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</si>
  <si>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</si>
  <si>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</si>
  <si>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</si>
  <si>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</si>
  <si>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</si>
  <si>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руководитель</t>
  </si>
  <si>
    <t>повышение квалификации</t>
  </si>
  <si>
    <t>направление кадров</t>
  </si>
  <si>
    <t>Для повышения уровня знаний</t>
  </si>
  <si>
    <t>Информация программы применима в работе</t>
  </si>
  <si>
    <t>Направление работодателя</t>
  </si>
  <si>
    <t>необходимость при работе с обращениями граждан</t>
  </si>
  <si>
    <t>Для приобретения навыков, для использования в работе</t>
  </si>
  <si>
    <t>Заинтересовало направление, а также сама тема части применяется в практике</t>
  </si>
  <si>
    <t>интересно</t>
  </si>
  <si>
    <t>Повысить уровень квалификации</t>
  </si>
  <si>
    <t>получение дополнительных компетенций, повышение квалификации</t>
  </si>
  <si>
    <t>интересна тематика  контроля в сфере благоустройства</t>
  </si>
  <si>
    <t>для повышения квалификации</t>
  </si>
  <si>
    <t>Предоставление программы обучения от отдела кадров по плановой программе, также личное желание</t>
  </si>
  <si>
    <t>Получить дополнительные знания</t>
  </si>
  <si>
    <t>Повышение квалификации</t>
  </si>
  <si>
    <t>повысить профессиональный уровень</t>
  </si>
  <si>
    <t>Повышение знаний</t>
  </si>
  <si>
    <t>Соответствует деятельности</t>
  </si>
  <si>
    <t>Повышение служебной компетенции</t>
  </si>
  <si>
    <t>Для работы</t>
  </si>
  <si>
    <t>Была необходимость для повышения квалификации в сфере контрольной (надзорной) деятельности для работы.</t>
  </si>
  <si>
    <t>муниципальный контроль в сфере благоустройства</t>
  </si>
  <si>
    <t>контрольная (надзорная) деятельность</t>
  </si>
  <si>
    <t>да</t>
  </si>
  <si>
    <t>-</t>
  </si>
  <si>
    <t>цифровизация КНД</t>
  </si>
  <si>
    <t>КНД</t>
  </si>
  <si>
    <t>Все</t>
  </si>
  <si>
    <t>никакие</t>
  </si>
  <si>
    <t>всего хватает</t>
  </si>
  <si>
    <t>Особенности КНД в СПб и цифровизация надзорной деятельности. Непосредственно применимо в работе</t>
  </si>
  <si>
    <t>Проведение КНД, важные нюансы по взаимодействию с контролируемыми лицами, реформирование КНД</t>
  </si>
  <si>
    <t>Цифровизация</t>
  </si>
  <si>
    <t>Порядок формирования КНД , и работа с платформой Инспектор</t>
  </si>
  <si>
    <t>работа с платформой КНД</t>
  </si>
  <si>
    <t>все вопросы актуальны</t>
  </si>
  <si>
    <t>отсутствует</t>
  </si>
  <si>
    <t>Муниципальный контроль, МП инспектор</t>
  </si>
  <si>
    <t>больше практических занятий по заполнению мероприятий в МП инспектор</t>
  </si>
  <si>
    <t>Оптимизация контрольной деятельности</t>
  </si>
  <si>
    <t>оптимизация процессов</t>
  </si>
  <si>
    <t>Применение ИИ</t>
  </si>
  <si>
    <t>все вопросы</t>
  </si>
  <si>
    <t>все могу</t>
  </si>
  <si>
    <t>никаких</t>
  </si>
  <si>
    <t>Вопросы работы приложения "Мобильный инспектор"</t>
  </si>
  <si>
    <t>Навыки работы с приложением "Мобильный инспектор"</t>
  </si>
  <si>
    <t>Все вопросы уместны</t>
  </si>
  <si>
    <t>вопросы практической деятельности</t>
  </si>
  <si>
    <t>актуальные вопросы в сфере осуществления муниципального контроля, цифровизация</t>
  </si>
  <si>
    <t>практически все</t>
  </si>
  <si>
    <t>административная практика, взаимодействие между ведомствами</t>
  </si>
  <si>
    <t>вопросы , касаемые НТО, непосредственно в ГЖИ проводится плотная работа в данном направлении, а также МП Инспектор и многое другое, да весь курс был актуален, т.к. освежить воспоминания правового поля всегда очень полезно для осуществляемой деятельности))</t>
  </si>
  <si>
    <t>активнее пользоваться МП Инспектор, правовое поле по НТО, контроль незаконного размещения  на газонах придомовой территории, думаю в целом все)</t>
  </si>
  <si>
    <t>Курс отличный! многое узнала для себя!</t>
  </si>
  <si>
    <t>таких не встретила.</t>
  </si>
  <si>
    <t>затрудняюсь ответить, но возможно более четкое разделение зоны ответственности ИОГВ в благоустройстве</t>
  </si>
  <si>
    <t>Все актуальны</t>
  </si>
  <si>
    <t>Все знания, умения и навыки, полученные на программе</t>
  </si>
  <si>
    <t>Размещение элементов на фасаде, нпа</t>
  </si>
  <si>
    <t>все умения и навыки, полученные на программе</t>
  </si>
  <si>
    <t>Таких нет</t>
  </si>
  <si>
    <t>Вся информация была полезной и актуальной</t>
  </si>
  <si>
    <t>Вопросы благоустройства и Постановления 961-965, поскольку их углублённое изучение в рабочих моментах принимается не так обширно в связи со спецификой деятельности</t>
  </si>
  <si>
    <t>Углубленное изучение благоустройства и Постановления 961-965</t>
  </si>
  <si>
    <t>Нет таких вопросов/тем</t>
  </si>
  <si>
    <t>Вопросы согласования (Профилитет КГА)</t>
  </si>
  <si>
    <t>Муниципальный контроль, порядок проведения</t>
  </si>
  <si>
    <t>автоматизация процессов при проведении КНМ</t>
  </si>
  <si>
    <t>можно оставить все</t>
  </si>
  <si>
    <t>все оставить как есть</t>
  </si>
  <si>
    <t>ознакомление с мобильным приложением "ИНСПЕКТОР", с нормативной базой в сфере муниципального контроля, поскольку эти сведения мною в рабочем процессе не используются</t>
  </si>
  <si>
    <t>в пределах своей компетенции</t>
  </si>
  <si>
    <t>...</t>
  </si>
  <si>
    <t>затрудняюсь ответить</t>
  </si>
  <si>
    <t>Осуществление КНД в сфере благоустройства</t>
  </si>
  <si>
    <t>Осуществление КНД в сфере благоустройства в пределах своей компетенции</t>
  </si>
  <si>
    <t>Подробные темы, касающиеся осуществление КНД в части содержания фасадов по эстетическому регламенту, а также вовлеченность КГА в данную деятельность</t>
  </si>
  <si>
    <t>цифровая трансформация контрольной надзорной деятельности</t>
  </si>
  <si>
    <t>осуществление КНД в рамках своей компетенции</t>
  </si>
  <si>
    <t>Все вопросы актуальный</t>
  </si>
  <si>
    <t>все применимо в профессиональной деятельности</t>
  </si>
  <si>
    <t>КНД в КВЗПБ</t>
  </si>
  <si>
    <t>все вопросы были актуальны</t>
  </si>
  <si>
    <t>все</t>
  </si>
  <si>
    <t>все было полезно</t>
  </si>
  <si>
    <t>Все вопросы освещенные в рамках обучения были актуальны и будут мной применены в дальнейшем в работе.</t>
  </si>
  <si>
    <t>Все знания поученные по курсу программы.</t>
  </si>
  <si>
    <t>предложения отсутствуют.</t>
  </si>
  <si>
    <t>Предложения отсутствуют.</t>
  </si>
  <si>
    <t>Соответствующие деятельности</t>
  </si>
  <si>
    <t>Большинство</t>
  </si>
  <si>
    <t>Не обнаружил</t>
  </si>
  <si>
    <t>Затрудняюсь ответить</t>
  </si>
  <si>
    <t>все вопросы актуальны, так как необходимы в служебной деятельности</t>
  </si>
  <si>
    <t>Все по курсу программы</t>
  </si>
  <si>
    <t>предложения отсутствуют</t>
  </si>
  <si>
    <t>ЕРКНМ</t>
  </si>
  <si>
    <t>Контрольная (надзорная) деятельность, работа с порталами ЕРВК, ЕРКНМ, ФГИС ПГС и МП Инспектор.</t>
  </si>
  <si>
    <t>Использование МП Инспектор в осуществлении КНД.</t>
  </si>
  <si>
    <t>--</t>
  </si>
  <si>
    <t>Все темы были полезны для использования в работе. Ничего исключать не нужно.</t>
  </si>
  <si>
    <t>Возможно стоит добавить еще одно практическое занятие для порталов ЕРВК, ЕРКНМ и МП Инспектор.</t>
  </si>
  <si>
    <t>ничего</t>
  </si>
  <si>
    <t>нет предложений</t>
  </si>
  <si>
    <t>объем</t>
  </si>
  <si>
    <t>Работы в приложениях</t>
  </si>
  <si>
    <t>все хорошо, изменений не требуется</t>
  </si>
  <si>
    <t>больше практических примеров каждого органа власти</t>
  </si>
  <si>
    <t>Нет</t>
  </si>
  <si>
    <t>Ничего</t>
  </si>
  <si>
    <t>больше практических примеров</t>
  </si>
  <si>
    <t>нет необходимости менять</t>
  </si>
  <si>
    <t>Затрудняюсь</t>
  </si>
  <si>
    <t>Всего достаточно. Изменения не требуются.</t>
  </si>
  <si>
    <t>нет</t>
  </si>
  <si>
    <t>очное обучение в аудиториях Корпоративного университета</t>
  </si>
  <si>
    <t>всё и так интересно</t>
  </si>
  <si>
    <t>смешанное обучение: частично очно, частично дистанционно</t>
  </si>
  <si>
    <t>информация отсутствует</t>
  </si>
  <si>
    <t>полностью дистанционный формат обучения</t>
  </si>
  <si>
    <t>Все достаточно</t>
  </si>
  <si>
    <t>практические задания</t>
  </si>
  <si>
    <t>все хорошо</t>
  </si>
  <si>
    <t>была вовлеченность во время всего обучения</t>
  </si>
  <si>
    <t>Спикеры</t>
  </si>
  <si>
    <t>информация сведения применяемые при проведении КНМ</t>
  </si>
  <si>
    <t>представленный материал носит общий характер и удалён от вопросов от моих полномочий</t>
  </si>
  <si>
    <t>предоставление материала, более близкого по теме к моим непосредственным обязанностям</t>
  </si>
  <si>
    <t>Материал носит общий характер, не для компетенции КГА</t>
  </si>
  <si>
    <t>материал носит общий характер, не для компетенции КГА</t>
  </si>
  <si>
    <t>Делать занятия в рабочее время, так как нет возможности по семейным обстоятельствам посещать после 18.00</t>
  </si>
  <si>
    <t>Единственный минус, обучение в вечернее время</t>
  </si>
  <si>
    <t>Предложения отсутствуют. Вовлеченность в обучении была на должном уровне.</t>
  </si>
  <si>
    <t>Больше визуализации</t>
  </si>
  <si>
    <t>Предложения отсутствуют</t>
  </si>
  <si>
    <t>Обучение было интересным для меня.</t>
  </si>
  <si>
    <t>супер все</t>
  </si>
  <si>
    <t>Всё отлично и полезно в моей сфере деятельности</t>
  </si>
  <si>
    <t>Все отлично</t>
  </si>
  <si>
    <t>информаивно</t>
  </si>
  <si>
    <t>Все вопросы, возникающие в рамках обучения, оперативно решены</t>
  </si>
  <si>
    <t>всем спасибо за полученные знания</t>
  </si>
  <si>
    <t>Все хорошо, спасибо</t>
  </si>
  <si>
    <t>все отлично, доступно</t>
  </si>
  <si>
    <t>куратор очень ответственна и чуткая, всегда помогала в разных сложных вопросах! Команда университета супер! преподаватели - Высший класс!</t>
  </si>
  <si>
    <t>все было отлично</t>
  </si>
  <si>
    <t>Отзывчивая команда/преподаватели, хорошая подача материала</t>
  </si>
  <si>
    <t>Доступно, интересно представлена информация</t>
  </si>
  <si>
    <t>Доброжелательно, информативно и поучительно!</t>
  </si>
  <si>
    <t>доброжелательная команда</t>
  </si>
  <si>
    <t>Это была отличная командная работа на результат!</t>
  </si>
  <si>
    <t>Всё понравилось</t>
  </si>
  <si>
    <t>это была отличная командная работа на результат!</t>
  </si>
  <si>
    <t>Куратор Юлия всегда была с группой на связи, сообщала нужную информацию четко и вовремя.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</si>
</sst>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6"/>
  <sheetViews>
    <sheetView tabSelected="1" workbookViewId="0">
      <selection activeCell="A2" sqref="A2:B26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1"/>
      <c r="B2" s="1"/>
      <c r="C2" s="1" t="s">
        <v>34</v>
      </c>
      <c r="D2" s="1" t="s">
        <v>36</v>
      </c>
      <c r="E2" s="9">
        <v>10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60</v>
      </c>
      <c r="K2" s="1" t="s">
        <v>61</v>
      </c>
      <c r="L2" s="9">
        <v>10</v>
      </c>
      <c r="M2" t="s">
        <v>59</v>
      </c>
      <c r="N2" t="s">
        <v>60</v>
      </c>
      <c r="O2" t="s">
        <v>60</v>
      </c>
      <c r="P2" s="9">
        <v>10</v>
      </c>
      <c r="Q2" s="1" t="s">
        <v>59</v>
      </c>
      <c r="R2" s="1" t="s">
        <v>60</v>
      </c>
      <c r="S2" s="1" t="s">
        <v>59</v>
      </c>
      <c r="T2" s="1" t="s">
        <v>60</v>
      </c>
      <c r="U2" s="1" t="s">
        <v>151</v>
      </c>
      <c r="V2" s="1" t="s">
        <v>60</v>
      </c>
      <c r="W2" s="1" t="s">
        <v>60</v>
      </c>
      <c r="X2" s="1" t="s">
        <v>152</v>
      </c>
      <c r="Y2" s="9">
        <v>10</v>
      </c>
      <c r="Z2" s="1" t="s">
        <v>173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"/>
      <c r="B3" s="1"/>
      <c r="C3" s="1" t="s">
        <v>34</v>
      </c>
      <c r="D3" s="1" t="s">
        <v>37</v>
      </c>
      <c r="E3" s="9">
        <v>10</v>
      </c>
      <c r="F3" s="1" t="s">
        <v>62</v>
      </c>
      <c r="G3" s="1" t="s">
        <v>63</v>
      </c>
      <c r="H3" s="1" t="s">
        <v>59</v>
      </c>
      <c r="I3" s="1" t="s">
        <v>60</v>
      </c>
      <c r="J3" s="1" t="s">
        <v>64</v>
      </c>
      <c r="K3" s="1" t="s">
        <v>65</v>
      </c>
      <c r="L3" s="9">
        <v>10</v>
      </c>
      <c r="M3" t="s">
        <v>59</v>
      </c>
      <c r="N3" t="s">
        <v>60</v>
      </c>
      <c r="O3" t="s">
        <v>139</v>
      </c>
      <c r="P3" s="9">
        <v>10</v>
      </c>
      <c r="Q3" s="1" t="s">
        <v>59</v>
      </c>
      <c r="R3" s="1" t="s">
        <v>60</v>
      </c>
      <c r="S3" s="1" t="s">
        <v>59</v>
      </c>
      <c r="T3" s="1" t="s">
        <v>60</v>
      </c>
      <c r="U3" s="1" t="s">
        <v>151</v>
      </c>
      <c r="V3" s="1" t="s">
        <v>60</v>
      </c>
      <c r="W3" s="1" t="s">
        <v>153</v>
      </c>
      <c r="X3" s="1" t="s">
        <v>152</v>
      </c>
      <c r="Y3" s="9">
        <v>10</v>
      </c>
      <c r="Z3" s="1" t="s">
        <v>174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90" x14ac:dyDescent="0.25">
      <c r="A4" s="1"/>
      <c r="B4" s="1"/>
      <c r="C4" s="1" t="s">
        <v>33</v>
      </c>
      <c r="D4" s="1" t="s">
        <v>38</v>
      </c>
      <c r="E4" s="9">
        <v>10</v>
      </c>
      <c r="F4" s="1" t="s">
        <v>66</v>
      </c>
      <c r="G4" s="1" t="s">
        <v>67</v>
      </c>
      <c r="H4" s="1" t="s">
        <v>59</v>
      </c>
      <c r="I4" s="1" t="s">
        <v>60</v>
      </c>
      <c r="J4" s="1" t="s">
        <v>64</v>
      </c>
      <c r="K4" s="1" t="s">
        <v>60</v>
      </c>
      <c r="L4" s="9">
        <v>10</v>
      </c>
      <c r="M4" t="s">
        <v>59</v>
      </c>
      <c r="N4" t="s">
        <v>60</v>
      </c>
      <c r="O4" t="s">
        <v>60</v>
      </c>
      <c r="P4" s="9">
        <v>10</v>
      </c>
      <c r="Q4" s="1" t="s">
        <v>59</v>
      </c>
      <c r="R4" s="1" t="s">
        <v>60</v>
      </c>
      <c r="S4" s="1" t="s">
        <v>59</v>
      </c>
      <c r="T4" s="1" t="s">
        <v>60</v>
      </c>
      <c r="U4" s="1" t="s">
        <v>151</v>
      </c>
      <c r="V4" s="1" t="s">
        <v>60</v>
      </c>
      <c r="W4" s="1" t="s">
        <v>60</v>
      </c>
      <c r="X4" s="1" t="s">
        <v>154</v>
      </c>
      <c r="Y4" s="9">
        <v>10</v>
      </c>
      <c r="Z4" s="1" t="s">
        <v>175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33</v>
      </c>
      <c r="D5" s="1" t="s">
        <v>39</v>
      </c>
      <c r="E5" s="9">
        <v>10</v>
      </c>
      <c r="F5" s="1" t="s">
        <v>68</v>
      </c>
      <c r="G5" s="1" t="s">
        <v>60</v>
      </c>
      <c r="H5" s="1" t="s">
        <v>59</v>
      </c>
      <c r="I5" s="1" t="s">
        <v>60</v>
      </c>
      <c r="J5" s="1" t="s">
        <v>60</v>
      </c>
      <c r="K5" s="1" t="s">
        <v>60</v>
      </c>
      <c r="L5" s="9">
        <v>9</v>
      </c>
      <c r="M5" t="s">
        <v>59</v>
      </c>
      <c r="N5" t="s">
        <v>60</v>
      </c>
      <c r="O5" t="s">
        <v>60</v>
      </c>
      <c r="P5" s="9">
        <v>10</v>
      </c>
      <c r="Q5" s="1" t="s">
        <v>59</v>
      </c>
      <c r="R5" s="1" t="s">
        <v>60</v>
      </c>
      <c r="S5" s="1" t="s">
        <v>59</v>
      </c>
      <c r="T5" s="1" t="s">
        <v>60</v>
      </c>
      <c r="U5" s="1" t="s">
        <v>59</v>
      </c>
      <c r="V5" s="1" t="s">
        <v>60</v>
      </c>
      <c r="W5" s="1" t="s">
        <v>68</v>
      </c>
      <c r="X5" s="1" t="s">
        <v>152</v>
      </c>
      <c r="Y5" s="9">
        <v>10</v>
      </c>
      <c r="Z5" s="1" t="s">
        <v>60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1"/>
      <c r="B6" s="1"/>
      <c r="C6" s="1" t="s">
        <v>33</v>
      </c>
      <c r="D6" s="1" t="s">
        <v>40</v>
      </c>
      <c r="E6" s="9">
        <v>10</v>
      </c>
      <c r="F6" s="1" t="s">
        <v>69</v>
      </c>
      <c r="G6" s="1" t="s">
        <v>70</v>
      </c>
      <c r="H6" s="1" t="s">
        <v>59</v>
      </c>
      <c r="I6" s="1" t="s">
        <v>60</v>
      </c>
      <c r="J6" s="1" t="s">
        <v>71</v>
      </c>
      <c r="K6" s="1" t="s">
        <v>72</v>
      </c>
      <c r="L6" s="9">
        <v>10</v>
      </c>
      <c r="M6" t="s">
        <v>59</v>
      </c>
      <c r="N6" t="s">
        <v>60</v>
      </c>
      <c r="O6" t="s">
        <v>140</v>
      </c>
      <c r="P6" s="9">
        <v>10</v>
      </c>
      <c r="Q6" s="1" t="s">
        <v>59</v>
      </c>
      <c r="R6" s="1" t="s">
        <v>60</v>
      </c>
      <c r="S6" s="1" t="s">
        <v>59</v>
      </c>
      <c r="T6" s="1" t="s">
        <v>60</v>
      </c>
      <c r="U6" s="1" t="s">
        <v>151</v>
      </c>
      <c r="V6" s="1" t="s">
        <v>60</v>
      </c>
      <c r="W6" s="1" t="s">
        <v>155</v>
      </c>
      <c r="X6" s="1" t="s">
        <v>154</v>
      </c>
      <c r="Y6" s="9">
        <v>10</v>
      </c>
      <c r="Z6" s="1" t="s">
        <v>176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"/>
      <c r="B7" s="1"/>
      <c r="C7" s="1" t="s">
        <v>33</v>
      </c>
      <c r="D7" s="1" t="s">
        <v>41</v>
      </c>
      <c r="E7" s="9">
        <v>10</v>
      </c>
      <c r="F7" s="1" t="s">
        <v>73</v>
      </c>
      <c r="G7" s="1" t="s">
        <v>73</v>
      </c>
      <c r="H7" s="1" t="s">
        <v>59</v>
      </c>
      <c r="I7" s="1" t="s">
        <v>60</v>
      </c>
      <c r="J7" s="1" t="s">
        <v>60</v>
      </c>
      <c r="K7" s="1" t="s">
        <v>74</v>
      </c>
      <c r="L7" s="9">
        <v>10</v>
      </c>
      <c r="M7" t="s">
        <v>59</v>
      </c>
      <c r="N7" t="s">
        <v>60</v>
      </c>
      <c r="O7" t="s">
        <v>141</v>
      </c>
      <c r="P7" s="9">
        <v>10</v>
      </c>
      <c r="Q7" s="1" t="s">
        <v>59</v>
      </c>
      <c r="R7" s="1" t="s">
        <v>60</v>
      </c>
      <c r="S7" s="1" t="s">
        <v>59</v>
      </c>
      <c r="T7" s="1" t="s">
        <v>60</v>
      </c>
      <c r="U7" s="1" t="s">
        <v>151</v>
      </c>
      <c r="V7" s="1" t="s">
        <v>60</v>
      </c>
      <c r="W7" s="1" t="s">
        <v>60</v>
      </c>
      <c r="X7" s="1" t="s">
        <v>154</v>
      </c>
      <c r="Y7" s="9">
        <v>10</v>
      </c>
      <c r="Z7" s="1" t="s">
        <v>60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75" x14ac:dyDescent="0.25">
      <c r="A8" s="1"/>
      <c r="B8" s="1"/>
      <c r="C8" s="1" t="s">
        <v>33</v>
      </c>
      <c r="D8" s="1" t="s">
        <v>42</v>
      </c>
      <c r="E8" s="9">
        <v>10</v>
      </c>
      <c r="F8" s="1" t="s">
        <v>75</v>
      </c>
      <c r="G8" s="1" t="s">
        <v>76</v>
      </c>
      <c r="H8" s="1" t="s">
        <v>59</v>
      </c>
      <c r="I8" s="1" t="s">
        <v>60</v>
      </c>
      <c r="J8" s="1" t="s">
        <v>60</v>
      </c>
      <c r="K8" s="1" t="s">
        <v>77</v>
      </c>
      <c r="L8" s="9">
        <v>10</v>
      </c>
      <c r="M8" t="s">
        <v>59</v>
      </c>
      <c r="N8" t="s">
        <v>60</v>
      </c>
      <c r="O8" t="s">
        <v>60</v>
      </c>
      <c r="P8" s="9">
        <v>10</v>
      </c>
      <c r="Q8" s="1" t="s">
        <v>59</v>
      </c>
      <c r="R8" s="1" t="s">
        <v>60</v>
      </c>
      <c r="S8" s="1" t="s">
        <v>59</v>
      </c>
      <c r="T8" s="1" t="s">
        <v>60</v>
      </c>
      <c r="U8" s="1" t="s">
        <v>151</v>
      </c>
      <c r="V8" s="1" t="s">
        <v>60</v>
      </c>
      <c r="W8" s="1" t="s">
        <v>60</v>
      </c>
      <c r="X8" s="1" t="s">
        <v>156</v>
      </c>
      <c r="Y8" s="9">
        <v>10</v>
      </c>
      <c r="Z8" s="1" t="s">
        <v>177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"/>
      <c r="B9" s="1"/>
      <c r="C9" s="1" t="s">
        <v>33</v>
      </c>
      <c r="D9" s="1" t="s">
        <v>43</v>
      </c>
      <c r="E9" s="9">
        <v>10</v>
      </c>
      <c r="F9" s="1" t="s">
        <v>78</v>
      </c>
      <c r="G9" s="1" t="s">
        <v>79</v>
      </c>
      <c r="H9" s="1" t="s">
        <v>59</v>
      </c>
      <c r="I9" s="1" t="s">
        <v>60</v>
      </c>
      <c r="J9" s="1" t="s">
        <v>80</v>
      </c>
      <c r="K9" s="1" t="s">
        <v>60</v>
      </c>
      <c r="L9" s="9">
        <v>10</v>
      </c>
      <c r="M9" t="s">
        <v>59</v>
      </c>
      <c r="N9" t="s">
        <v>60</v>
      </c>
      <c r="O9" t="s">
        <v>60</v>
      </c>
      <c r="P9" s="9">
        <v>10</v>
      </c>
      <c r="Q9" s="1" t="s">
        <v>59</v>
      </c>
      <c r="R9" s="1" t="s">
        <v>60</v>
      </c>
      <c r="S9" s="1" t="s">
        <v>59</v>
      </c>
      <c r="T9" s="1" t="s">
        <v>60</v>
      </c>
      <c r="U9" s="1" t="s">
        <v>59</v>
      </c>
      <c r="V9" s="1" t="s">
        <v>60</v>
      </c>
      <c r="W9" s="1" t="s">
        <v>60</v>
      </c>
      <c r="X9" s="1" t="s">
        <v>152</v>
      </c>
      <c r="Y9" s="9">
        <v>10</v>
      </c>
      <c r="Z9" s="1" t="s">
        <v>178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"/>
      <c r="B10" s="1"/>
      <c r="C10" s="1" t="s">
        <v>33</v>
      </c>
      <c r="D10" s="1" t="s">
        <v>44</v>
      </c>
      <c r="E10" s="9">
        <v>10</v>
      </c>
      <c r="F10" s="1" t="s">
        <v>81</v>
      </c>
      <c r="G10" s="1" t="s">
        <v>82</v>
      </c>
      <c r="H10" s="1" t="s">
        <v>59</v>
      </c>
      <c r="I10" s="1" t="s">
        <v>60</v>
      </c>
      <c r="J10" s="1" t="s">
        <v>83</v>
      </c>
      <c r="K10" s="1" t="s">
        <v>84</v>
      </c>
      <c r="L10" s="9">
        <v>9</v>
      </c>
      <c r="M10" t="s">
        <v>59</v>
      </c>
      <c r="N10" t="s">
        <v>142</v>
      </c>
      <c r="O10" t="s">
        <v>139</v>
      </c>
      <c r="P10" s="9">
        <v>10</v>
      </c>
      <c r="Q10" s="1" t="s">
        <v>59</v>
      </c>
      <c r="R10" s="1" t="s">
        <v>60</v>
      </c>
      <c r="S10" s="1" t="s">
        <v>59</v>
      </c>
      <c r="T10" s="1" t="s">
        <v>60</v>
      </c>
      <c r="U10" s="1" t="s">
        <v>151</v>
      </c>
      <c r="V10" s="1" t="s">
        <v>60</v>
      </c>
      <c r="W10" s="1" t="s">
        <v>157</v>
      </c>
      <c r="X10" s="1" t="s">
        <v>152</v>
      </c>
      <c r="Y10" s="9">
        <v>10</v>
      </c>
      <c r="Z10" s="1" t="s">
        <v>179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75" x14ac:dyDescent="0.25">
      <c r="A11" s="1"/>
      <c r="B11" s="1"/>
      <c r="C11" s="1" t="s">
        <v>33</v>
      </c>
      <c r="D11" s="1" t="s">
        <v>45</v>
      </c>
      <c r="E11" s="9">
        <v>10</v>
      </c>
      <c r="F11" s="1" t="s">
        <v>85</v>
      </c>
      <c r="G11" s="1" t="s">
        <v>86</v>
      </c>
      <c r="H11" s="1" t="s">
        <v>59</v>
      </c>
      <c r="I11" s="1" t="s">
        <v>60</v>
      </c>
      <c r="J11" s="1" t="s">
        <v>60</v>
      </c>
      <c r="K11" s="1" t="s">
        <v>87</v>
      </c>
      <c r="L11" s="9">
        <v>10</v>
      </c>
      <c r="M11" t="s">
        <v>59</v>
      </c>
      <c r="N11" t="s">
        <v>60</v>
      </c>
      <c r="O11" t="s">
        <v>60</v>
      </c>
      <c r="P11" s="9">
        <v>10</v>
      </c>
      <c r="Q11" s="1" t="s">
        <v>59</v>
      </c>
      <c r="R11" s="1" t="s">
        <v>60</v>
      </c>
      <c r="S11" s="1" t="s">
        <v>59</v>
      </c>
      <c r="T11" s="1" t="s">
        <v>60</v>
      </c>
      <c r="U11" s="1" t="s">
        <v>151</v>
      </c>
      <c r="V11" s="1" t="s">
        <v>60</v>
      </c>
      <c r="W11" s="1" t="s">
        <v>158</v>
      </c>
      <c r="X11" s="1" t="s">
        <v>154</v>
      </c>
      <c r="Y11" s="9">
        <v>10</v>
      </c>
      <c r="Z11" s="1" t="s">
        <v>180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165" x14ac:dyDescent="0.25">
      <c r="A12" s="1"/>
      <c r="B12" s="1"/>
      <c r="C12" s="1" t="s">
        <v>33</v>
      </c>
      <c r="D12" s="1" t="s">
        <v>46</v>
      </c>
      <c r="E12" s="9">
        <v>10</v>
      </c>
      <c r="F12" s="1" t="s">
        <v>88</v>
      </c>
      <c r="G12" s="1" t="s">
        <v>89</v>
      </c>
      <c r="H12" s="1" t="s">
        <v>59</v>
      </c>
      <c r="I12" s="1" t="s">
        <v>90</v>
      </c>
      <c r="J12" s="1" t="s">
        <v>91</v>
      </c>
      <c r="K12" s="1" t="s">
        <v>92</v>
      </c>
      <c r="L12" s="9">
        <v>10</v>
      </c>
      <c r="M12" t="s">
        <v>59</v>
      </c>
      <c r="N12" t="s">
        <v>60</v>
      </c>
      <c r="O12" t="s">
        <v>143</v>
      </c>
      <c r="P12" s="9">
        <v>10</v>
      </c>
      <c r="Q12" s="1" t="s">
        <v>59</v>
      </c>
      <c r="R12" s="1" t="s">
        <v>60</v>
      </c>
      <c r="S12" s="1" t="s">
        <v>59</v>
      </c>
      <c r="T12" s="1" t="s">
        <v>60</v>
      </c>
      <c r="U12" s="1" t="s">
        <v>151</v>
      </c>
      <c r="V12" s="1" t="s">
        <v>60</v>
      </c>
      <c r="W12" s="1" t="s">
        <v>159</v>
      </c>
      <c r="X12" s="1" t="s">
        <v>152</v>
      </c>
      <c r="Y12" s="9">
        <v>10</v>
      </c>
      <c r="Z12" s="1" t="s">
        <v>181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"/>
      <c r="B13" s="1"/>
      <c r="C13" s="1" t="s">
        <v>33</v>
      </c>
      <c r="D13" s="1" t="s">
        <v>35</v>
      </c>
      <c r="E13" s="9">
        <v>10</v>
      </c>
      <c r="F13" s="1" t="s">
        <v>93</v>
      </c>
      <c r="G13" s="1" t="s">
        <v>94</v>
      </c>
      <c r="H13" s="1" t="s">
        <v>59</v>
      </c>
      <c r="I13" s="1" t="s">
        <v>60</v>
      </c>
      <c r="J13" s="1" t="s">
        <v>60</v>
      </c>
      <c r="K13" s="1" t="s">
        <v>60</v>
      </c>
      <c r="L13" s="9">
        <v>5</v>
      </c>
      <c r="M13" t="s">
        <v>59</v>
      </c>
      <c r="N13" t="s">
        <v>60</v>
      </c>
      <c r="O13" t="s">
        <v>60</v>
      </c>
      <c r="P13" s="9">
        <v>10</v>
      </c>
      <c r="Q13" s="1" t="s">
        <v>59</v>
      </c>
      <c r="R13" s="1" t="s">
        <v>60</v>
      </c>
      <c r="S13" s="1" t="s">
        <v>59</v>
      </c>
      <c r="T13" s="1" t="s">
        <v>60</v>
      </c>
      <c r="U13" s="1" t="s">
        <v>151</v>
      </c>
      <c r="V13" s="1" t="s">
        <v>60</v>
      </c>
      <c r="W13" s="1" t="s">
        <v>60</v>
      </c>
      <c r="X13" s="1" t="s">
        <v>152</v>
      </c>
      <c r="Y13" s="9">
        <v>10</v>
      </c>
      <c r="Z13" s="1" t="s">
        <v>60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45" x14ac:dyDescent="0.25">
      <c r="A14" s="1"/>
      <c r="B14" s="1"/>
      <c r="C14" s="1" t="s">
        <v>33</v>
      </c>
      <c r="D14" s="1" t="s">
        <v>47</v>
      </c>
      <c r="E14" s="9">
        <v>10</v>
      </c>
      <c r="F14" s="1" t="s">
        <v>95</v>
      </c>
      <c r="G14" s="1" t="s">
        <v>96</v>
      </c>
      <c r="H14" s="1" t="s">
        <v>59</v>
      </c>
      <c r="I14" s="1" t="s">
        <v>60</v>
      </c>
      <c r="J14" s="1" t="s">
        <v>97</v>
      </c>
      <c r="K14" s="1" t="s">
        <v>98</v>
      </c>
      <c r="L14" s="9">
        <v>10</v>
      </c>
      <c r="M14" t="s">
        <v>59</v>
      </c>
      <c r="N14" t="s">
        <v>60</v>
      </c>
      <c r="O14" t="s">
        <v>144</v>
      </c>
      <c r="P14" s="9">
        <v>10</v>
      </c>
      <c r="Q14" s="1" t="s">
        <v>59</v>
      </c>
      <c r="R14" s="1" t="s">
        <v>60</v>
      </c>
      <c r="S14" s="1" t="s">
        <v>59</v>
      </c>
      <c r="T14" s="1" t="s">
        <v>60</v>
      </c>
      <c r="U14" s="1" t="s">
        <v>151</v>
      </c>
      <c r="V14" s="1" t="s">
        <v>60</v>
      </c>
      <c r="W14" s="1" t="s">
        <v>160</v>
      </c>
      <c r="X14" s="1" t="s">
        <v>156</v>
      </c>
      <c r="Y14" s="9">
        <v>10</v>
      </c>
      <c r="Z14" s="1" t="s">
        <v>182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105" x14ac:dyDescent="0.25">
      <c r="A15" s="1"/>
      <c r="B15" s="1"/>
      <c r="C15" s="1" t="s">
        <v>33</v>
      </c>
      <c r="D15" s="1" t="s">
        <v>48</v>
      </c>
      <c r="E15" s="9">
        <v>10</v>
      </c>
      <c r="F15" s="1" t="s">
        <v>99</v>
      </c>
      <c r="G15" s="1" t="s">
        <v>100</v>
      </c>
      <c r="H15" s="1" t="s">
        <v>59</v>
      </c>
      <c r="I15" s="1" t="s">
        <v>60</v>
      </c>
      <c r="J15" s="1" t="s">
        <v>101</v>
      </c>
      <c r="K15" s="1" t="s">
        <v>102</v>
      </c>
      <c r="L15" s="9">
        <v>10</v>
      </c>
      <c r="M15" t="s">
        <v>59</v>
      </c>
      <c r="N15" t="s">
        <v>145</v>
      </c>
      <c r="O15" t="s">
        <v>146</v>
      </c>
      <c r="P15" s="9">
        <v>10</v>
      </c>
      <c r="Q15" s="1" t="s">
        <v>59</v>
      </c>
      <c r="R15" s="1" t="s">
        <v>60</v>
      </c>
      <c r="S15" s="1" t="s">
        <v>59</v>
      </c>
      <c r="T15" s="1" t="s">
        <v>60</v>
      </c>
      <c r="U15" s="1" t="s">
        <v>151</v>
      </c>
      <c r="V15" s="1" t="s">
        <v>60</v>
      </c>
      <c r="W15" s="1" t="s">
        <v>161</v>
      </c>
      <c r="X15" s="1" t="s">
        <v>156</v>
      </c>
      <c r="Y15" s="9">
        <v>10</v>
      </c>
      <c r="Z15" s="1" t="s">
        <v>183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45" x14ac:dyDescent="0.25">
      <c r="A16" s="1"/>
      <c r="B16" s="1"/>
      <c r="C16" s="1" t="s">
        <v>33</v>
      </c>
      <c r="D16" s="1" t="s">
        <v>49</v>
      </c>
      <c r="E16" s="9">
        <v>10</v>
      </c>
      <c r="F16" s="1" t="s">
        <v>103</v>
      </c>
      <c r="G16" s="1" t="s">
        <v>104</v>
      </c>
      <c r="H16" s="1" t="s">
        <v>59</v>
      </c>
      <c r="I16" s="1" t="s">
        <v>60</v>
      </c>
      <c r="J16" s="1" t="s">
        <v>105</v>
      </c>
      <c r="K16" s="1" t="s">
        <v>106</v>
      </c>
      <c r="L16" s="9">
        <v>10</v>
      </c>
      <c r="M16" t="s">
        <v>59</v>
      </c>
      <c r="N16" t="s">
        <v>60</v>
      </c>
      <c r="O16" t="s">
        <v>147</v>
      </c>
      <c r="P16" s="9">
        <v>10</v>
      </c>
      <c r="Q16" s="1" t="s">
        <v>59</v>
      </c>
      <c r="R16" s="1" t="s">
        <v>60</v>
      </c>
      <c r="S16" s="1" t="s">
        <v>59</v>
      </c>
      <c r="T16" s="1" t="s">
        <v>60</v>
      </c>
      <c r="U16" s="1" t="s">
        <v>151</v>
      </c>
      <c r="V16" s="1" t="s">
        <v>60</v>
      </c>
      <c r="W16" s="1" t="s">
        <v>162</v>
      </c>
      <c r="X16" s="1" t="s">
        <v>156</v>
      </c>
      <c r="Y16" s="9">
        <v>10</v>
      </c>
      <c r="Z16" s="1" t="s">
        <v>184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20" x14ac:dyDescent="0.25">
      <c r="A17" s="1"/>
      <c r="B17" s="1"/>
      <c r="C17" s="1" t="s">
        <v>34</v>
      </c>
      <c r="D17" s="1" t="s">
        <v>35</v>
      </c>
      <c r="E17" s="9">
        <v>7</v>
      </c>
      <c r="F17" s="1" t="s">
        <v>107</v>
      </c>
      <c r="G17" s="1" t="s">
        <v>108</v>
      </c>
      <c r="H17" s="1" t="s">
        <v>59</v>
      </c>
      <c r="I17" s="1" t="s">
        <v>60</v>
      </c>
      <c r="J17" s="1" t="s">
        <v>109</v>
      </c>
      <c r="K17" s="1" t="s">
        <v>110</v>
      </c>
      <c r="L17" s="9">
        <v>8</v>
      </c>
      <c r="M17" t="s">
        <v>59</v>
      </c>
      <c r="N17" t="s">
        <v>60</v>
      </c>
      <c r="O17" t="s">
        <v>140</v>
      </c>
      <c r="P17" s="9">
        <v>8</v>
      </c>
      <c r="Q17" s="1" t="s">
        <v>59</v>
      </c>
      <c r="R17" s="1" t="s">
        <v>60</v>
      </c>
      <c r="S17" s="1" t="s">
        <v>59</v>
      </c>
      <c r="T17" s="1" t="s">
        <v>60</v>
      </c>
      <c r="U17" s="1" t="s">
        <v>59</v>
      </c>
      <c r="V17" s="1" t="s">
        <v>163</v>
      </c>
      <c r="W17" s="1" t="s">
        <v>164</v>
      </c>
      <c r="X17" s="1" t="s">
        <v>154</v>
      </c>
      <c r="Y17" s="9">
        <v>8</v>
      </c>
      <c r="Z17" s="1" t="s">
        <v>60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120" x14ac:dyDescent="0.25">
      <c r="A18" s="1"/>
      <c r="B18" s="1"/>
      <c r="C18" s="1" t="s">
        <v>33</v>
      </c>
      <c r="D18" s="1" t="s">
        <v>50</v>
      </c>
      <c r="E18" s="9">
        <v>6</v>
      </c>
      <c r="F18" s="1" t="s">
        <v>111</v>
      </c>
      <c r="G18" s="1" t="s">
        <v>112</v>
      </c>
      <c r="H18" s="1" t="s">
        <v>59</v>
      </c>
      <c r="I18" s="1" t="s">
        <v>60</v>
      </c>
      <c r="J18" s="1" t="s">
        <v>60</v>
      </c>
      <c r="K18" s="1" t="s">
        <v>113</v>
      </c>
      <c r="L18" s="9">
        <v>8</v>
      </c>
      <c r="M18" t="s">
        <v>59</v>
      </c>
      <c r="N18" t="s">
        <v>60</v>
      </c>
      <c r="O18" t="s">
        <v>60</v>
      </c>
      <c r="P18" s="9">
        <v>7</v>
      </c>
      <c r="Q18" s="1" t="s">
        <v>59</v>
      </c>
      <c r="R18" s="1" t="s">
        <v>60</v>
      </c>
      <c r="S18" s="1" t="s">
        <v>59</v>
      </c>
      <c r="T18" s="1" t="s">
        <v>60</v>
      </c>
      <c r="U18" s="1" t="s">
        <v>59</v>
      </c>
      <c r="V18" s="1" t="s">
        <v>165</v>
      </c>
      <c r="W18" s="1" t="s">
        <v>60</v>
      </c>
      <c r="X18" s="1" t="s">
        <v>154</v>
      </c>
      <c r="Y18" s="9">
        <v>10</v>
      </c>
      <c r="Z18" s="1" t="s">
        <v>185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90" x14ac:dyDescent="0.25">
      <c r="A19" s="1"/>
      <c r="B19" s="1"/>
      <c r="C19" s="1" t="s">
        <v>33</v>
      </c>
      <c r="D19" s="1" t="s">
        <v>35</v>
      </c>
      <c r="E19" s="9">
        <v>6</v>
      </c>
      <c r="F19" s="1" t="s">
        <v>114</v>
      </c>
      <c r="G19" s="1" t="s">
        <v>115</v>
      </c>
      <c r="H19" s="1" t="s">
        <v>59</v>
      </c>
      <c r="I19" s="1" t="s">
        <v>60</v>
      </c>
      <c r="J19" s="1" t="s">
        <v>60</v>
      </c>
      <c r="K19" s="1" t="s">
        <v>60</v>
      </c>
      <c r="L19" s="9">
        <v>9</v>
      </c>
      <c r="M19" t="s">
        <v>59</v>
      </c>
      <c r="N19" t="s">
        <v>60</v>
      </c>
      <c r="O19" t="s">
        <v>60</v>
      </c>
      <c r="P19" s="9">
        <v>6</v>
      </c>
      <c r="Q19" s="1" t="s">
        <v>59</v>
      </c>
      <c r="R19" s="1" t="s">
        <v>60</v>
      </c>
      <c r="S19" s="1" t="s">
        <v>59</v>
      </c>
      <c r="T19" s="1" t="s">
        <v>60</v>
      </c>
      <c r="U19" s="1" t="s">
        <v>59</v>
      </c>
      <c r="V19" s="1" t="s">
        <v>166</v>
      </c>
      <c r="W19" s="1" t="s">
        <v>167</v>
      </c>
      <c r="X19" s="1" t="s">
        <v>154</v>
      </c>
      <c r="Y19" s="9">
        <v>10</v>
      </c>
      <c r="Z19" s="1" t="s">
        <v>186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1"/>
      <c r="B20" s="1"/>
      <c r="C20" s="1" t="s">
        <v>33</v>
      </c>
      <c r="D20" s="1" t="s">
        <v>51</v>
      </c>
      <c r="E20" s="9">
        <v>10</v>
      </c>
      <c r="F20" s="1" t="s">
        <v>116</v>
      </c>
      <c r="G20" s="1" t="s">
        <v>117</v>
      </c>
      <c r="H20" s="1" t="s">
        <v>59</v>
      </c>
      <c r="I20" s="1" t="s">
        <v>60</v>
      </c>
      <c r="J20" s="1" t="s">
        <v>60</v>
      </c>
      <c r="K20" s="1" t="s">
        <v>118</v>
      </c>
      <c r="L20" s="9">
        <v>10</v>
      </c>
      <c r="M20" t="s">
        <v>59</v>
      </c>
      <c r="N20" t="s">
        <v>60</v>
      </c>
      <c r="O20" t="s">
        <v>60</v>
      </c>
      <c r="P20" s="9">
        <v>10</v>
      </c>
      <c r="Q20" s="1" t="s">
        <v>59</v>
      </c>
      <c r="R20" s="1" t="s">
        <v>60</v>
      </c>
      <c r="S20" s="1" t="s">
        <v>59</v>
      </c>
      <c r="T20" s="1" t="s">
        <v>60</v>
      </c>
      <c r="U20" s="1" t="s">
        <v>151</v>
      </c>
      <c r="V20" s="1" t="s">
        <v>60</v>
      </c>
      <c r="W20" s="1" t="s">
        <v>60</v>
      </c>
      <c r="X20" s="1" t="s">
        <v>152</v>
      </c>
      <c r="Y20" s="9">
        <v>10</v>
      </c>
      <c r="Z20" s="1" t="s">
        <v>60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"/>
      <c r="B21" s="1"/>
      <c r="C21" s="1" t="s">
        <v>33</v>
      </c>
      <c r="D21" s="1" t="s">
        <v>52</v>
      </c>
      <c r="E21" s="9">
        <v>10</v>
      </c>
      <c r="F21" s="1" t="s">
        <v>119</v>
      </c>
      <c r="G21" s="1" t="s">
        <v>120</v>
      </c>
      <c r="H21" s="1" t="s">
        <v>59</v>
      </c>
      <c r="I21" s="1" t="s">
        <v>60</v>
      </c>
      <c r="J21" s="1" t="s">
        <v>121</v>
      </c>
      <c r="K21" s="1" t="s">
        <v>110</v>
      </c>
      <c r="L21" s="9">
        <v>10</v>
      </c>
      <c r="M21" t="s">
        <v>59</v>
      </c>
      <c r="N21" t="s">
        <v>60</v>
      </c>
      <c r="O21" t="s">
        <v>148</v>
      </c>
      <c r="P21" s="9">
        <v>10</v>
      </c>
      <c r="Q21" s="1" t="s">
        <v>59</v>
      </c>
      <c r="R21" s="1" t="s">
        <v>60</v>
      </c>
      <c r="S21" s="1" t="s">
        <v>59</v>
      </c>
      <c r="T21" s="1" t="s">
        <v>60</v>
      </c>
      <c r="U21" s="1" t="s">
        <v>59</v>
      </c>
      <c r="V21" s="1" t="s">
        <v>60</v>
      </c>
      <c r="W21" s="1" t="s">
        <v>168</v>
      </c>
      <c r="X21" s="1" t="s">
        <v>152</v>
      </c>
      <c r="Y21" s="9">
        <v>10</v>
      </c>
      <c r="Z21" s="1" t="s">
        <v>60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75" x14ac:dyDescent="0.25">
      <c r="A22" s="1"/>
      <c r="B22" s="1"/>
      <c r="C22" s="1" t="s">
        <v>33</v>
      </c>
      <c r="D22" s="1" t="s">
        <v>50</v>
      </c>
      <c r="E22" s="9">
        <v>10</v>
      </c>
      <c r="F22" s="1" t="s">
        <v>122</v>
      </c>
      <c r="G22" s="1" t="s">
        <v>123</v>
      </c>
      <c r="H22" s="1" t="s">
        <v>59</v>
      </c>
      <c r="I22" s="1" t="s">
        <v>60</v>
      </c>
      <c r="J22" s="1" t="s">
        <v>124</v>
      </c>
      <c r="K22" s="1" t="s">
        <v>125</v>
      </c>
      <c r="L22" s="9">
        <v>10</v>
      </c>
      <c r="M22" t="s">
        <v>59</v>
      </c>
      <c r="N22" t="s">
        <v>60</v>
      </c>
      <c r="O22" t="s">
        <v>125</v>
      </c>
      <c r="P22" s="9">
        <v>10</v>
      </c>
      <c r="Q22" s="1" t="s">
        <v>59</v>
      </c>
      <c r="R22" s="1" t="s">
        <v>60</v>
      </c>
      <c r="S22" s="1" t="s">
        <v>59</v>
      </c>
      <c r="T22" s="1" t="s">
        <v>60</v>
      </c>
      <c r="U22" s="1" t="s">
        <v>151</v>
      </c>
      <c r="V22" s="1" t="s">
        <v>60</v>
      </c>
      <c r="W22" s="1" t="s">
        <v>169</v>
      </c>
      <c r="X22" s="1" t="s">
        <v>154</v>
      </c>
      <c r="Y22" s="9">
        <v>10</v>
      </c>
      <c r="Z22" s="1" t="s">
        <v>187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45" x14ac:dyDescent="0.25">
      <c r="A23" s="1"/>
      <c r="B23" s="1"/>
      <c r="C23" s="1" t="s">
        <v>33</v>
      </c>
      <c r="D23" s="1" t="s">
        <v>53</v>
      </c>
      <c r="E23" s="9">
        <v>10</v>
      </c>
      <c r="F23" s="1" t="s">
        <v>126</v>
      </c>
      <c r="G23" s="1" t="s">
        <v>127</v>
      </c>
      <c r="H23" s="1" t="s">
        <v>59</v>
      </c>
      <c r="I23" s="1" t="s">
        <v>60</v>
      </c>
      <c r="J23" s="1" t="s">
        <v>128</v>
      </c>
      <c r="K23" s="1" t="s">
        <v>129</v>
      </c>
      <c r="L23" s="9">
        <v>4</v>
      </c>
      <c r="M23" t="s">
        <v>59</v>
      </c>
      <c r="N23" t="s">
        <v>60</v>
      </c>
      <c r="O23" t="s">
        <v>149</v>
      </c>
      <c r="P23" s="9">
        <v>8</v>
      </c>
      <c r="Q23" s="1" t="s">
        <v>59</v>
      </c>
      <c r="R23" s="1" t="s">
        <v>60</v>
      </c>
      <c r="S23" s="1" t="s">
        <v>59</v>
      </c>
      <c r="T23" s="1" t="s">
        <v>60</v>
      </c>
      <c r="U23" s="1" t="s">
        <v>151</v>
      </c>
      <c r="V23" s="1" t="s">
        <v>60</v>
      </c>
      <c r="W23" s="1" t="s">
        <v>170</v>
      </c>
      <c r="X23" s="1" t="s">
        <v>154</v>
      </c>
      <c r="Y23" s="9">
        <v>9</v>
      </c>
      <c r="Z23" s="1" t="s">
        <v>188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45" x14ac:dyDescent="0.25">
      <c r="A24" s="1"/>
      <c r="B24" s="1"/>
      <c r="C24" s="1" t="s">
        <v>33</v>
      </c>
      <c r="D24" s="1" t="s">
        <v>54</v>
      </c>
      <c r="E24" s="9">
        <v>10</v>
      </c>
      <c r="F24" s="1" t="s">
        <v>130</v>
      </c>
      <c r="G24" s="1" t="s">
        <v>131</v>
      </c>
      <c r="H24" s="1" t="s">
        <v>59</v>
      </c>
      <c r="I24" s="1" t="s">
        <v>60</v>
      </c>
      <c r="J24" s="1" t="s">
        <v>97</v>
      </c>
      <c r="K24" s="1" t="s">
        <v>132</v>
      </c>
      <c r="L24" s="9">
        <v>8</v>
      </c>
      <c r="M24" t="s">
        <v>59</v>
      </c>
      <c r="N24" t="s">
        <v>60</v>
      </c>
      <c r="O24" t="s">
        <v>140</v>
      </c>
      <c r="P24" s="9">
        <v>10</v>
      </c>
      <c r="Q24" s="1" t="s">
        <v>59</v>
      </c>
      <c r="R24" s="1" t="s">
        <v>60</v>
      </c>
      <c r="S24" s="1" t="s">
        <v>59</v>
      </c>
      <c r="T24" s="1" t="s">
        <v>60</v>
      </c>
      <c r="U24" s="1" t="s">
        <v>151</v>
      </c>
      <c r="V24" s="1" t="s">
        <v>60</v>
      </c>
      <c r="W24" s="1" t="s">
        <v>171</v>
      </c>
      <c r="X24" s="1" t="s">
        <v>154</v>
      </c>
      <c r="Y24" s="9">
        <v>10</v>
      </c>
      <c r="Z24" s="1" t="s">
        <v>189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45" x14ac:dyDescent="0.25">
      <c r="A25" s="1"/>
      <c r="B25" s="1"/>
      <c r="C25" s="1" t="s">
        <v>33</v>
      </c>
      <c r="D25" s="1" t="s">
        <v>55</v>
      </c>
      <c r="E25" s="9">
        <v>10</v>
      </c>
      <c r="F25" s="1" t="s">
        <v>133</v>
      </c>
      <c r="G25" s="1" t="s">
        <v>62</v>
      </c>
      <c r="H25" s="1" t="s">
        <v>59</v>
      </c>
      <c r="I25" s="1" t="s">
        <v>60</v>
      </c>
      <c r="J25" s="1" t="s">
        <v>60</v>
      </c>
      <c r="K25" s="1" t="s">
        <v>133</v>
      </c>
      <c r="L25" s="9">
        <v>10</v>
      </c>
      <c r="M25" t="s">
        <v>59</v>
      </c>
      <c r="N25" t="s">
        <v>136</v>
      </c>
      <c r="O25" t="s">
        <v>60</v>
      </c>
      <c r="P25" s="9">
        <v>10</v>
      </c>
      <c r="Q25" s="1" t="s">
        <v>59</v>
      </c>
      <c r="R25" s="1" t="s">
        <v>60</v>
      </c>
      <c r="S25" s="1" t="s">
        <v>59</v>
      </c>
      <c r="T25" s="1" t="s">
        <v>60</v>
      </c>
      <c r="U25" s="1" t="s">
        <v>59</v>
      </c>
      <c r="V25" s="1" t="s">
        <v>60</v>
      </c>
      <c r="W25" s="1" t="s">
        <v>60</v>
      </c>
      <c r="X25" s="1" t="s">
        <v>156</v>
      </c>
      <c r="Y25" s="9">
        <v>10</v>
      </c>
      <c r="Z25" s="1" t="s">
        <v>60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05" x14ac:dyDescent="0.25">
      <c r="A26" s="1"/>
      <c r="B26" s="1"/>
      <c r="C26" s="1" t="s">
        <v>33</v>
      </c>
      <c r="D26" s="1" t="s">
        <v>56</v>
      </c>
      <c r="E26" s="9">
        <v>10</v>
      </c>
      <c r="F26" s="1" t="s">
        <v>134</v>
      </c>
      <c r="G26" s="1" t="s">
        <v>135</v>
      </c>
      <c r="H26" s="1" t="s">
        <v>59</v>
      </c>
      <c r="I26" s="1" t="s">
        <v>136</v>
      </c>
      <c r="J26" s="1" t="s">
        <v>137</v>
      </c>
      <c r="K26" s="1" t="s">
        <v>138</v>
      </c>
      <c r="L26" s="9">
        <v>10</v>
      </c>
      <c r="M26" t="s">
        <v>59</v>
      </c>
      <c r="N26" t="s">
        <v>136</v>
      </c>
      <c r="O26" t="s">
        <v>150</v>
      </c>
      <c r="P26" s="9">
        <v>10</v>
      </c>
      <c r="Q26" s="1" t="s">
        <v>59</v>
      </c>
      <c r="R26" s="1" t="s">
        <v>136</v>
      </c>
      <c r="S26" s="1" t="s">
        <v>59</v>
      </c>
      <c r="T26" s="1" t="s">
        <v>136</v>
      </c>
      <c r="U26" s="1" t="s">
        <v>151</v>
      </c>
      <c r="V26" s="1" t="s">
        <v>60</v>
      </c>
      <c r="W26" s="1" t="s">
        <v>172</v>
      </c>
      <c r="X26" s="1" t="s">
        <v>154</v>
      </c>
      <c r="Y26" s="9">
        <v>10</v>
      </c>
      <c r="Z26" s="1" t="s">
        <v>190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E27" s="9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E28" s="9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E29" s="9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E30" s="9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E31" s="9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E32" s="9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E33" s="9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E34" s="9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E35" s="9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E36" s="9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</sheetData>
  <autoFilter ref="A1:Z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4" sqref="E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9.56</v>
      </c>
      <c r="C4" s="8">
        <f>AVERAGE('Исходные данные (итог. анкета)'!L:L)</f>
        <v>9.1999999999999993</v>
      </c>
      <c r="D4" s="8">
        <f>AVERAGE('Исходные данные (итог. анкета)'!P:P)</f>
        <v>9.56</v>
      </c>
      <c r="E4" s="7">
        <f>COUNTIF('Исходные данные (итог. анкета)'!U:U,"нет")/COUNTA('Исходные данные (итог. анкета)'!U2:U498)</f>
        <v>0.72</v>
      </c>
      <c r="F4" s="8">
        <f>AVERAGE('Исходные данные (итог. анкета)'!Y:Y)</f>
        <v>9.8800000000000008</v>
      </c>
      <c r="G4" s="4">
        <f>AVERAGE(B4:D4,F4)</f>
        <v>9.5500000000000007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2026-07-01T10:17:31Z</dcterms:modified>
</cp:coreProperties>
</file>