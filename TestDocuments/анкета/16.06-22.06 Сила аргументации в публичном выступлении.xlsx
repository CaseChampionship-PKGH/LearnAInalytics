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<sst xmlns="http://schemas.openxmlformats.org/spreadsheetml/2006/main" count="373" uniqueCount="170">
  <si>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</si>
  <si>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</si>
  <si>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</si>
  <si>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</si>
  <si>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</si>
  <si>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</si>
  <si>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</si>
  <si>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</si>
  <si>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</si>
  <si>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</si>
  <si>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</si>
  <si>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</si>
  <si>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</si>
  <si>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</si>
  <si>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</si>
  <si>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</si>
  <si>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</si>
  <si>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</si>
  <si>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</si>
  <si>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</si>
  <si>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</si>
  <si>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</si>
  <si>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</si>
  <si>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</si>
  <si>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</si>
  <si>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</si>
  <si>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</si>
  <si>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</si>
  <si>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</si>
  <si>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</si>
  <si>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</si>
  <si>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</si>
  <si>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</si>
  <si>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</si>
  <si>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Несколько лет хотелось попасть на этот курс. В связи с тем, что есть определенный страх публичных выступлений, хотелось понять, какая  возможность есть для его преодоления</t>
  </si>
  <si>
    <t>обеспечивающий специалист</t>
  </si>
  <si>
    <t>приобретение новых знаний</t>
  </si>
  <si>
    <t>В рамках служебной деятельности предполагаются выступления, а также подготовка докладов для выступления руководства</t>
  </si>
  <si>
    <t>Улучшение навыков публичного выступления</t>
  </si>
  <si>
    <t>Побороть страх публичных выступлений</t>
  </si>
  <si>
    <t>Страх публичных выступлений, интересный преподавательский состав, продолжительное отсутствие опыта выступлений (1 год)</t>
  </si>
  <si>
    <t>Так сложилось</t>
  </si>
  <si>
    <t>Интересно усовершенствовать  навыки публичного выступления</t>
  </si>
  <si>
    <t>Повысить свою квалификацию</t>
  </si>
  <si>
    <t>руководитель</t>
  </si>
  <si>
    <t>Для усовершенствования своих умений при подготовке докладов(выступлений), умения профессионально аргументировать свою позицию</t>
  </si>
  <si>
    <t>Побороть страхи</t>
  </si>
  <si>
    <t>Интересная тема. Полезные навыки.</t>
  </si>
  <si>
    <t>Тематика программы обучения полезна в моей работе.</t>
  </si>
  <si>
    <t>Чтобы применить полученные навыки в работе.
Необходимо в профессиональной деятельности.</t>
  </si>
  <si>
    <t>В связи с тем, что сотрудник, запланировавший данное обучение в ИППР дважды не смог пройти указанную программу по уважительным причинам. Заменила его на обучении, так как курс короткий по срокам и обещал быть интересным.</t>
  </si>
  <si>
    <t>Получить новые знания</t>
  </si>
  <si>
    <t>Интересная тема</t>
  </si>
  <si>
    <t>-</t>
  </si>
  <si>
    <t>да</t>
  </si>
  <si>
    <t>Выступление перед телевизионными камерами, участие в интервью</t>
  </si>
  <si>
    <t>Тема каверзных вопросов: работаю с населением</t>
  </si>
  <si>
    <t>Практика нужна</t>
  </si>
  <si>
    <t>нет</t>
  </si>
  <si>
    <t>В программе заявлены инструменты по снижению стресса при работе с аудиторией. инструменты необходимо детализировать. подача была общего вида.</t>
  </si>
  <si>
    <t>Можно полностью исключить Тимерханова Э.А. Нет гибкого подхода к слушателям. неинтересный спикер в плане обучения чему-то новому.</t>
  </si>
  <si>
    <t>очень понравилась Рылеева В.П. Мастер слова! Ее работу со слушателями Вы недооценили. Мало часов поставили!</t>
  </si>
  <si>
    <t>Все вопросы были актуальны</t>
  </si>
  <si>
    <t>Все знания, умения и навыки, полученные на программе, смогу применять в служебной деятельности</t>
  </si>
  <si>
    <t>Таких нет</t>
  </si>
  <si>
    <t>Приемы отработки дикции, интонации, управления голосом</t>
  </si>
  <si>
    <t>Все вопросы отраженные в темах занятий</t>
  </si>
  <si>
    <t>Полученные знания, умения и навыки так или иначе применимы в моей деятельности.</t>
  </si>
  <si>
    <t>----</t>
  </si>
  <si>
    <t>Я бы оставил все</t>
  </si>
  <si>
    <t>Работа с ИИ</t>
  </si>
  <si>
    <t>Структура выступления, приемы вовлечения аудитории</t>
  </si>
  <si>
    <t>Построение структуры публичного выступления, использование приемов по контакту с аудиторией</t>
  </si>
  <si>
    <t>Выступление на камеру</t>
  </si>
  <si>
    <t>Всего хватает</t>
  </si>
  <si>
    <t>Вопрос привлечения и удержания внимания аудитории, техника речи, ответы на каверзные вопросы, построение аргументов</t>
  </si>
  <si>
    <t>Все</t>
  </si>
  <si>
    <t>Никаких</t>
  </si>
  <si>
    <t>Больше практических занятий, создание презентаций</t>
  </si>
  <si>
    <t>Практика публичных выступлений</t>
  </si>
  <si>
    <t>Многие</t>
  </si>
  <si>
    <t>Никакие, все очень к месту и в тему</t>
  </si>
  <si>
    <t>Возможно, больше психологии</t>
  </si>
  <si>
    <t>Сила аргументации, работа с аудиторией, составление презентации - все это пригодится как в работе, так и в повседневной жизни</t>
  </si>
  <si>
    <t>правила публичного выступление и составление презентации</t>
  </si>
  <si>
    <t>Углубленные знания, т.к. уровень для большинства слушателей был начальный</t>
  </si>
  <si>
    <t>Больше практики!</t>
  </si>
  <si>
    <t>Было очень важно знать, как выступать на публике, как контактировать с ней!</t>
  </si>
  <si>
    <t>Упражнения для проработки речи</t>
  </si>
  <si>
    <t>Базовый минимум для постановки голоса</t>
  </si>
  <si>
    <t>структура выступления, приемы вовлечения, аргументации, техника речи</t>
  </si>
  <si>
    <t>Почти все</t>
  </si>
  <si>
    <t>Мне хватило предложенного курса</t>
  </si>
  <si>
    <t>Психологические приемы для борьбы с волнением</t>
  </si>
  <si>
    <t>Анализ, аргументы, подготовка к выступлению, построение структуры выступления</t>
  </si>
  <si>
    <t>Все полезные</t>
  </si>
  <si>
    <t>Советы по литературе; как развивать навык публичных выступлений.</t>
  </si>
  <si>
    <t>Все.</t>
  </si>
  <si>
    <t>Программа по теме предоставила мне не только теоретическую базу, но и набор практических инструментов, которые я смогу эффективно применять в своей профессиональной деятельности. Полученные знания, умения и навыки можно разделить на несколько ключевых блоков:</t>
  </si>
  <si>
    <t>Никакие</t>
  </si>
  <si>
    <t>Многое из курса было актуально! И подготовка своего выступления по заданному алгоритму, и умение кратко отвечать на поставленные вопросы в режиме ограниченного времени, и навыки ухода от вопросов.</t>
  </si>
  <si>
    <t>Смогу применять все полученные навыки в своей работе.</t>
  </si>
  <si>
    <t>Честно говоря, есть то, что стоит добавить. Исключать нечего.</t>
  </si>
  <si>
    <t>Было бы полезно включить элемент состязательности. В нашей практике, как правило, монолог редко используется.</t>
  </si>
  <si>
    <t>Вопросы публичных выступлении
Преодоления страха перед выступлением
Презентации
Импровизация
Ораторское искусство</t>
  </si>
  <si>
    <t>Всё то, что прозвучало на лекциях применимо в моей работе</t>
  </si>
  <si>
    <t>Обучение в игровой форме навыкам ораторского искусства, с детальным разбором и последующей практикой подготовки и составления презентации своего выступления, обсуждение и проработка ошибок оратора, навыков снятия стресса перед выступлением и непосредственно перед ним, навыки работы с камерой, микрофоном и светом, а также игры для развития памяти.</t>
  </si>
  <si>
    <t>Навыки подготовки презентации, навыки работы с камерой, светом, микрофоном, пространством и голосом. Навыки работы с аудиторией (вовлечение, удержание внимания, обратная связь, работа с вопросами).</t>
  </si>
  <si>
    <t>Исключать, наверно не стоит ничего. Курс очень полезен. Но, структуру курса хотелось бы поменять. Массивная теоретическая база Эрнеста Тимерханова после вовлеченности и командной работы с Николаем Жуковым дается очень трудно. Логичнее сначала рассказать слушателям логическую и математическую составляющую (Тимерханов), а потом дать материал Жукова, который наполнен практическими упражнениями и командной работой. Хотелось бы увидеть и услышать больше отечественного опыта и наработок в курсе Э.Тимерханова, а не только отсылки к зарубежному опыту. Третий день обучения был похож на возвращение в школу: много теории, презентации на чёрном фоне, похожем на школьную доску, формулы. Этот день лучше сделать первым в курсе. А затем плавно перейти к практике, так как на втором занятии у Э.Тимерханова было очень интересно и всё применимо на практике. Завершение обучения было познавательным, интересным, утащила в свою копилку словесные игры, обязательно буду в них играть с сыном и друзьями.</t>
  </si>
  <si>
    <t>Уделить больше внимания работе голосом. Мы коснулись этого вопроса в ходе обучения, но хотелось бы получить больше информации и, главное, - попрактиковаться.</t>
  </si>
  <si>
    <t>Все вопросы актуальны</t>
  </si>
  <si>
    <t>Коммуникация</t>
  </si>
  <si>
    <t>Не задумывалась</t>
  </si>
  <si>
    <t>Не могу ответить</t>
  </si>
  <si>
    <t>Ораторское мастерство</t>
  </si>
  <si>
    <t>Углубить работу над голосом</t>
  </si>
  <si>
    <t>Работа спикера с аудиторией</t>
  </si>
  <si>
    <t>тема страхов в выступлении спикера перед аудиторией</t>
  </si>
  <si>
    <t>другие приглашенные эксперты</t>
  </si>
  <si>
    <t>Хотелось бы поменять порядок преподавателей (темы, на мой взгляд, это позволят) - начать с Рылеевой В.П. (потому что больше работы по парам было + задание на презентацию друг друга + приемы именно снятия зажимов "говорения"), затем - Тимерханов Э.А., а в конец- Жукова Н.Н.. В части теория/практика/стиль преподавания такой порядок был бы оптимальнее.</t>
  </si>
  <si>
    <t>------------</t>
  </si>
  <si>
    <t>Увеличить их количество</t>
  </si>
  <si>
    <t>Стоит дополнить программу по времени для получения возможности каждому индивидуально выступить в группе.</t>
  </si>
  <si>
    <t>Больше примеров применения на госслужбе, возможно распределение по сферам деятельности</t>
  </si>
  <si>
    <t>Ничего, практические занятия организованы с умом и гармонично</t>
  </si>
  <si>
    <t>Все было отлично</t>
  </si>
  <si>
    <t>Чтобы преподаватели больше вникали и погружались при подготовке материалов, что будут работать с госслужащими, ведь госслужащий - это не только офисный клерк, который создает только презентации, профессии госслужащего разнообразны</t>
  </si>
  <si>
    <t>Мне все понравилось</t>
  </si>
  <si>
    <t>Ничего. Отлично, что занятия проходят в очном формате и в дневное (рабочее) время. Так как днем мозг работает лучше.</t>
  </si>
  <si>
    <t>ничего</t>
  </si>
  <si>
    <t>Показалось, что все хорошо организовано. Есть обратная связь и обсуждение.</t>
  </si>
  <si>
    <t>Все практические занятия были интересными и полезными. Возможно, можно разбавить теоретическую часть первого дня с Э.Тимерхановым обучению работе с голосом.</t>
  </si>
  <si>
    <t>При рассмотрении тем: работа спикера с аудиторией, хотелось бы, чтобы презентация была актуализирована под нынешние реалии жизни</t>
  </si>
  <si>
    <t>На теме ораторские приемы хотелось бы задержаться побольше</t>
  </si>
  <si>
    <t>очное обучение в аудиториях Корпоративного университета</t>
  </si>
  <si>
    <t>когда вёл Тимерханов Эрнест. Мало полезного материала для госслужащих.</t>
  </si>
  <si>
    <t>другие приглашенные спикеры</t>
  </si>
  <si>
    <t>Больше времени для личного участия каждого в отработке задач (выступлении перед другими слушателями)</t>
  </si>
  <si>
    <t>--------------</t>
  </si>
  <si>
    <t>Еще больше практических занятий</t>
  </si>
  <si>
    <t>Больше времени посвящать каждому обучаемому, чтобы каждый выступил</t>
  </si>
  <si>
    <t>Дополнительные перерывы</t>
  </si>
  <si>
    <t>И так максимально вовлечен</t>
  </si>
  <si>
    <t>Более длительный курс с бОльшей частью практических занятий</t>
  </si>
  <si>
    <t>Была полностью вовлечена</t>
  </si>
  <si>
    <t>Личные примеры преподавателей, примеры из жизни, психологический разбор личности</t>
  </si>
  <si>
    <t>Уменьшение числа участников в группе</t>
  </si>
  <si>
    <t>и так была максимальная вовлеченность</t>
  </si>
  <si>
    <t>смешанное обучение: частично очно, частично дистанционно</t>
  </si>
  <si>
    <t>Курс очень полезен. Но, структуру курса хотелось бы поменять. Массивная теоретическая база Эрнеста Тимерханова после вовлеченности и командной работы с Николаем Жуковым дается очень трудно. Логичнее сначала рассказать слушателям теоретическую часть: логическую и математическую, предложенную нам Э.Тимерхановым, а потом дать материал Жукова, который наполнен практическими упражнениями и командной работой. Третий день обучения был похож на возвращение в школу: много теории, презентации на чёрном фоне, похожем на школьную доску, формулы. Этот день лучше сделать первым в курсе. А затем плавно перейти к практике, так как на втором занятии у Э.Тимерханова было очень интересно и всё применимо на практике. Завершение обучения было познавательным, интересным, утащила в свою копилку словесные игры, обязательно буду в них играть с сыном и друзьями.</t>
  </si>
  <si>
    <t>В третий день обучения. Когда после очень сильной эмоциональной вовлечённости нам дали массивную теоретическую базу, направленную исключительно на рацио.</t>
  </si>
  <si>
    <t>Во время обучения я была очень вовлечена. Мне понравились все спикеры и их работа. Они дали много полезного. Если изменить последовательность курса: сначала дать теорию, а потом плавно перейти к практике, то он будет логически понятным и эмоциональная вовлечённость слушателей сохранится на протяжении всего курса. В целом мне всё понравилось. Для себя лично составила чек-лист каким оратором я хочу стать и чего хотела бы избежать в своих выступлениях. 
И я уже опробовала на практике полученные знания)</t>
  </si>
  <si>
    <t>Количество занятий</t>
  </si>
  <si>
    <t>давали информативные ответы на поставленные вопросы, взаимодействовали и оказывали всестороннюю помощь и поддержку</t>
  </si>
  <si>
    <t>не нуждается в комментариях</t>
  </si>
  <si>
    <t>Куратор всегда быстро отвечал на возникающие вопросы, умело решал проблемные моменты, внимательно относился к слушателям</t>
  </si>
  <si>
    <t>Доступно, интересно, применимо на практике</t>
  </si>
  <si>
    <t>Все понравилось</t>
  </si>
  <si>
    <t>Все супер</t>
  </si>
  <si>
    <t>Все отлично!</t>
  </si>
  <si>
    <t>Отличное и полезное обучение. делайте, пожалуйста, больше таких курсов.</t>
  </si>
  <si>
    <t>Спасибо за приятный учебный процесс, до скорых встреч!</t>
  </si>
  <si>
    <t>Полное сопровождение, доступная связь</t>
  </si>
  <si>
    <t>Отличный преподавательский состав, интересно, держат внимание, отличная дикция, позитивный настрой. У каждого преподавателя своя изюминка и каждый внес свой вклад в мое личное развитие. Спасибо огромное!</t>
  </si>
  <si>
    <t>Успех программы во многом определяется не только качеством и количеством занятий, но и профессиональными спикерами.</t>
  </si>
  <si>
    <t>Абсолютно комфортное состояние. Мягкость, точность и внимательность!</t>
  </si>
  <si>
    <t>Идеальное информирование, ответы на все вопросы.
Максимально приятная атмосфера</t>
  </si>
  <si>
    <t>Своевременное оповещение, доброжелательное отношение и поддержка на протяжении всего обучения. Спасибо!</t>
  </si>
  <si>
    <t>Полезная тема</t>
  </si>
  <si>
    <t>Отличное взаимодействие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</si>
</sst>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18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165" x14ac:dyDescent="0.25">
      <c r="A2" s="1"/>
      <c r="B2" s="1"/>
      <c r="C2" s="1" t="s">
        <v>33</v>
      </c>
      <c r="D2" s="1" t="s">
        <v>34</v>
      </c>
      <c r="E2" s="9">
        <v>9</v>
      </c>
      <c r="F2" s="1" t="s">
        <v>53</v>
      </c>
      <c r="G2" s="1" t="s">
        <v>53</v>
      </c>
      <c r="H2" s="1" t="s">
        <v>54</v>
      </c>
      <c r="I2" s="1" t="s">
        <v>53</v>
      </c>
      <c r="J2" s="1" t="s">
        <v>55</v>
      </c>
      <c r="K2" s="1" t="s">
        <v>53</v>
      </c>
      <c r="L2" s="9">
        <v>9</v>
      </c>
      <c r="M2" s="1" t="s">
        <v>54</v>
      </c>
      <c r="N2" s="1" t="s">
        <v>116</v>
      </c>
      <c r="O2" s="1" t="s">
        <v>53</v>
      </c>
      <c r="P2" s="9">
        <v>9</v>
      </c>
      <c r="Q2" s="1" t="s">
        <v>54</v>
      </c>
      <c r="R2" s="1" t="s">
        <v>53</v>
      </c>
      <c r="S2" s="1" t="s">
        <v>54</v>
      </c>
      <c r="T2" s="1" t="s">
        <v>53</v>
      </c>
      <c r="U2" s="1" t="s">
        <v>54</v>
      </c>
      <c r="V2" s="1" t="s">
        <v>132</v>
      </c>
      <c r="W2" s="1" t="s">
        <v>133</v>
      </c>
      <c r="X2" s="1" t="s">
        <v>134</v>
      </c>
      <c r="Y2" s="9">
        <v>10</v>
      </c>
      <c r="Z2" s="1" t="s">
        <v>153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105" x14ac:dyDescent="0.25">
      <c r="A3" s="1"/>
      <c r="B3" s="1"/>
      <c r="C3" s="1" t="s">
        <v>35</v>
      </c>
      <c r="D3" s="1" t="s">
        <v>36</v>
      </c>
      <c r="E3" s="9">
        <v>9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61</v>
      </c>
      <c r="L3" s="9">
        <v>5</v>
      </c>
      <c r="M3" s="1" t="s">
        <v>58</v>
      </c>
      <c r="N3" s="1" t="s">
        <v>117</v>
      </c>
      <c r="O3" s="1" t="s">
        <v>118</v>
      </c>
      <c r="P3" s="9">
        <v>9</v>
      </c>
      <c r="Q3" s="1" t="s">
        <v>54</v>
      </c>
      <c r="R3" s="1" t="s">
        <v>53</v>
      </c>
      <c r="S3" s="1" t="s">
        <v>54</v>
      </c>
      <c r="T3" s="1" t="s">
        <v>53</v>
      </c>
      <c r="U3" s="1" t="s">
        <v>54</v>
      </c>
      <c r="V3" s="1" t="s">
        <v>135</v>
      </c>
      <c r="W3" s="1" t="s">
        <v>136</v>
      </c>
      <c r="X3" s="1" t="s">
        <v>134</v>
      </c>
      <c r="Y3" s="9">
        <v>10</v>
      </c>
      <c r="Z3" s="1" t="s">
        <v>154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270" x14ac:dyDescent="0.25">
      <c r="A4" s="1"/>
      <c r="B4" s="1"/>
      <c r="C4" s="1" t="s">
        <v>33</v>
      </c>
      <c r="D4" s="1" t="s">
        <v>37</v>
      </c>
      <c r="E4" s="9">
        <v>10</v>
      </c>
      <c r="F4" s="1" t="s">
        <v>62</v>
      </c>
      <c r="G4" s="1" t="s">
        <v>63</v>
      </c>
      <c r="H4" s="1" t="s">
        <v>54</v>
      </c>
      <c r="I4" s="1" t="s">
        <v>53</v>
      </c>
      <c r="J4" s="1" t="s">
        <v>64</v>
      </c>
      <c r="K4" s="1" t="s">
        <v>65</v>
      </c>
      <c r="L4" s="9">
        <v>10</v>
      </c>
      <c r="M4" s="1" t="s">
        <v>54</v>
      </c>
      <c r="N4" s="1" t="s">
        <v>53</v>
      </c>
      <c r="O4" s="1" t="s">
        <v>119</v>
      </c>
      <c r="P4" s="9">
        <v>10</v>
      </c>
      <c r="Q4" s="1" t="s">
        <v>54</v>
      </c>
      <c r="R4" s="1" t="s">
        <v>53</v>
      </c>
      <c r="S4" s="1" t="s">
        <v>54</v>
      </c>
      <c r="T4" s="1" t="s">
        <v>53</v>
      </c>
      <c r="U4" s="1" t="s">
        <v>58</v>
      </c>
      <c r="V4" s="1" t="s">
        <v>53</v>
      </c>
      <c r="W4" s="1" t="s">
        <v>137</v>
      </c>
      <c r="X4" s="1" t="s">
        <v>134</v>
      </c>
      <c r="Y4" s="9">
        <v>10</v>
      </c>
      <c r="Z4" s="1" t="s">
        <v>155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60" x14ac:dyDescent="0.25">
      <c r="A5" s="1"/>
      <c r="B5" s="1"/>
      <c r="C5" s="1" t="s">
        <v>33</v>
      </c>
      <c r="D5" s="1" t="s">
        <v>38</v>
      </c>
      <c r="E5" s="9">
        <v>10</v>
      </c>
      <c r="F5" s="1" t="s">
        <v>66</v>
      </c>
      <c r="G5" s="1" t="s">
        <v>67</v>
      </c>
      <c r="H5" s="1" t="s">
        <v>54</v>
      </c>
      <c r="I5" s="1" t="s">
        <v>68</v>
      </c>
      <c r="J5" s="1" t="s">
        <v>69</v>
      </c>
      <c r="K5" s="1" t="s">
        <v>70</v>
      </c>
      <c r="L5" s="9">
        <v>10</v>
      </c>
      <c r="M5" s="1" t="s">
        <v>54</v>
      </c>
      <c r="N5" s="1" t="s">
        <v>120</v>
      </c>
      <c r="O5" s="1" t="s">
        <v>121</v>
      </c>
      <c r="P5" s="9">
        <v>10</v>
      </c>
      <c r="Q5" s="1" t="s">
        <v>54</v>
      </c>
      <c r="R5" s="1" t="s">
        <v>120</v>
      </c>
      <c r="S5" s="1" t="s">
        <v>54</v>
      </c>
      <c r="T5" s="1" t="s">
        <v>138</v>
      </c>
      <c r="U5" s="1" t="s">
        <v>58</v>
      </c>
      <c r="V5" s="1" t="s">
        <v>120</v>
      </c>
      <c r="W5" s="1" t="s">
        <v>139</v>
      </c>
      <c r="X5" s="1" t="s">
        <v>134</v>
      </c>
      <c r="Y5" s="9">
        <v>10</v>
      </c>
      <c r="Z5" s="1" t="s">
        <v>156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90" x14ac:dyDescent="0.25">
      <c r="A6" s="1"/>
      <c r="B6" s="1"/>
      <c r="C6" s="1" t="s">
        <v>33</v>
      </c>
      <c r="D6" s="1" t="s">
        <v>39</v>
      </c>
      <c r="E6" s="9">
        <v>7</v>
      </c>
      <c r="F6" s="1" t="s">
        <v>71</v>
      </c>
      <c r="G6" s="1" t="s">
        <v>72</v>
      </c>
      <c r="H6" s="1" t="s">
        <v>54</v>
      </c>
      <c r="I6" s="1" t="s">
        <v>53</v>
      </c>
      <c r="J6" s="1" t="s">
        <v>73</v>
      </c>
      <c r="K6" s="1" t="s">
        <v>74</v>
      </c>
      <c r="L6" s="9">
        <v>9</v>
      </c>
      <c r="M6" s="1" t="s">
        <v>54</v>
      </c>
      <c r="N6" s="1" t="s">
        <v>53</v>
      </c>
      <c r="O6" s="1" t="s">
        <v>122</v>
      </c>
      <c r="P6" s="9">
        <v>10</v>
      </c>
      <c r="Q6" s="1" t="s">
        <v>54</v>
      </c>
      <c r="R6" s="1" t="s">
        <v>53</v>
      </c>
      <c r="S6" s="1" t="s">
        <v>54</v>
      </c>
      <c r="T6" s="1" t="s">
        <v>53</v>
      </c>
      <c r="U6" s="1" t="s">
        <v>58</v>
      </c>
      <c r="V6" s="1" t="s">
        <v>53</v>
      </c>
      <c r="W6" s="1" t="s">
        <v>140</v>
      </c>
      <c r="X6" s="1" t="s">
        <v>134</v>
      </c>
      <c r="Y6" s="9">
        <v>10</v>
      </c>
      <c r="Z6" s="1" t="s">
        <v>157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120" x14ac:dyDescent="0.25">
      <c r="A7" s="1"/>
      <c r="B7" s="1"/>
      <c r="C7" s="1" t="s">
        <v>35</v>
      </c>
      <c r="D7" s="1" t="s">
        <v>40</v>
      </c>
      <c r="E7" s="9">
        <v>10</v>
      </c>
      <c r="F7" s="1" t="s">
        <v>75</v>
      </c>
      <c r="G7" s="1" t="s">
        <v>76</v>
      </c>
      <c r="H7" s="1" t="s">
        <v>54</v>
      </c>
      <c r="I7" s="1" t="s">
        <v>53</v>
      </c>
      <c r="J7" s="1" t="s">
        <v>77</v>
      </c>
      <c r="K7" s="1" t="s">
        <v>78</v>
      </c>
      <c r="L7" s="9">
        <v>8</v>
      </c>
      <c r="M7" s="1" t="s">
        <v>54</v>
      </c>
      <c r="N7" s="1" t="s">
        <v>53</v>
      </c>
      <c r="O7" s="1" t="s">
        <v>123</v>
      </c>
      <c r="P7" s="9">
        <v>10</v>
      </c>
      <c r="Q7" s="1" t="s">
        <v>54</v>
      </c>
      <c r="R7" s="1" t="s">
        <v>53</v>
      </c>
      <c r="S7" s="1" t="s">
        <v>54</v>
      </c>
      <c r="T7" s="1" t="s">
        <v>53</v>
      </c>
      <c r="U7" s="1" t="s">
        <v>58</v>
      </c>
      <c r="V7" s="1" t="s">
        <v>53</v>
      </c>
      <c r="W7" s="1" t="s">
        <v>141</v>
      </c>
      <c r="X7" s="1" t="s">
        <v>134</v>
      </c>
      <c r="Y7" s="9">
        <v>10</v>
      </c>
      <c r="Z7" s="1" t="s">
        <v>158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60" x14ac:dyDescent="0.25">
      <c r="A8" s="1"/>
      <c r="B8" s="1"/>
      <c r="C8" s="1" t="s">
        <v>33</v>
      </c>
      <c r="D8" s="1" t="s">
        <v>41</v>
      </c>
      <c r="E8" s="9">
        <v>8</v>
      </c>
      <c r="F8" s="1" t="s">
        <v>79</v>
      </c>
      <c r="G8" s="1" t="s">
        <v>80</v>
      </c>
      <c r="H8" s="1" t="s">
        <v>54</v>
      </c>
      <c r="I8" s="1" t="s">
        <v>53</v>
      </c>
      <c r="J8" s="1" t="s">
        <v>81</v>
      </c>
      <c r="K8" s="1" t="s">
        <v>82</v>
      </c>
      <c r="L8" s="9">
        <v>10</v>
      </c>
      <c r="M8" s="1" t="s">
        <v>54</v>
      </c>
      <c r="N8" s="1" t="s">
        <v>53</v>
      </c>
      <c r="O8" s="1" t="s">
        <v>124</v>
      </c>
      <c r="P8" s="9">
        <v>10</v>
      </c>
      <c r="Q8" s="1" t="s">
        <v>54</v>
      </c>
      <c r="R8" s="1" t="s">
        <v>53</v>
      </c>
      <c r="S8" s="1" t="s">
        <v>54</v>
      </c>
      <c r="T8" s="1" t="s">
        <v>53</v>
      </c>
      <c r="U8" s="1" t="s">
        <v>58</v>
      </c>
      <c r="V8" s="1" t="s">
        <v>53</v>
      </c>
      <c r="W8" s="1" t="s">
        <v>142</v>
      </c>
      <c r="X8" s="1" t="s">
        <v>134</v>
      </c>
      <c r="Y8" s="9">
        <v>10</v>
      </c>
      <c r="Z8" s="1" t="s">
        <v>159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75" x14ac:dyDescent="0.25">
      <c r="A9" s="1"/>
      <c r="B9" s="1"/>
      <c r="C9" s="1" t="s">
        <v>33</v>
      </c>
      <c r="D9" s="1" t="s">
        <v>42</v>
      </c>
      <c r="E9" s="9">
        <v>9</v>
      </c>
      <c r="F9" s="1" t="s">
        <v>83</v>
      </c>
      <c r="G9" s="1" t="s">
        <v>84</v>
      </c>
      <c r="H9" s="1" t="s">
        <v>54</v>
      </c>
      <c r="I9" s="1" t="s">
        <v>53</v>
      </c>
      <c r="J9" s="1" t="s">
        <v>85</v>
      </c>
      <c r="K9" s="1" t="s">
        <v>86</v>
      </c>
      <c r="L9" s="9">
        <v>8</v>
      </c>
      <c r="M9" s="1" t="s">
        <v>54</v>
      </c>
      <c r="N9" s="1" t="s">
        <v>53</v>
      </c>
      <c r="O9" s="1" t="s">
        <v>125</v>
      </c>
      <c r="P9" s="9">
        <v>10</v>
      </c>
      <c r="Q9" s="1" t="s">
        <v>54</v>
      </c>
      <c r="R9" s="1" t="s">
        <v>53</v>
      </c>
      <c r="S9" s="1" t="s">
        <v>54</v>
      </c>
      <c r="T9" s="1" t="s">
        <v>53</v>
      </c>
      <c r="U9" s="1" t="s">
        <v>58</v>
      </c>
      <c r="V9" s="1" t="s">
        <v>53</v>
      </c>
      <c r="W9" s="1" t="s">
        <v>143</v>
      </c>
      <c r="X9" s="1" t="s">
        <v>134</v>
      </c>
      <c r="Y9" s="9">
        <v>10</v>
      </c>
      <c r="Z9" s="1" t="s">
        <v>160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180" x14ac:dyDescent="0.25">
      <c r="A10" s="1"/>
      <c r="B10" s="1"/>
      <c r="C10" s="1" t="s">
        <v>33</v>
      </c>
      <c r="D10" s="1" t="s">
        <v>43</v>
      </c>
      <c r="E10" s="9">
        <v>5</v>
      </c>
      <c r="F10" s="1" t="s">
        <v>87</v>
      </c>
      <c r="G10" s="1" t="s">
        <v>88</v>
      </c>
      <c r="H10" s="1" t="s">
        <v>54</v>
      </c>
      <c r="I10" s="1" t="s">
        <v>53</v>
      </c>
      <c r="J10" s="1" t="s">
        <v>53</v>
      </c>
      <c r="K10" s="1" t="s">
        <v>89</v>
      </c>
      <c r="L10" s="9">
        <v>10</v>
      </c>
      <c r="M10" s="1" t="s">
        <v>54</v>
      </c>
      <c r="N10" s="1" t="s">
        <v>53</v>
      </c>
      <c r="O10" s="1" t="s">
        <v>126</v>
      </c>
      <c r="P10" s="9">
        <v>10</v>
      </c>
      <c r="Q10" s="1" t="s">
        <v>54</v>
      </c>
      <c r="R10" s="1" t="s">
        <v>53</v>
      </c>
      <c r="S10" s="1" t="s">
        <v>54</v>
      </c>
      <c r="T10" s="1" t="s">
        <v>53</v>
      </c>
      <c r="U10" s="1" t="s">
        <v>58</v>
      </c>
      <c r="V10" s="1" t="s">
        <v>53</v>
      </c>
      <c r="W10" s="1" t="s">
        <v>53</v>
      </c>
      <c r="X10" s="1" t="s">
        <v>134</v>
      </c>
      <c r="Y10" s="9">
        <v>10</v>
      </c>
      <c r="Z10" s="1" t="s">
        <v>161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135" x14ac:dyDescent="0.25">
      <c r="A11" s="1"/>
      <c r="B11" s="1"/>
      <c r="C11" s="1" t="s">
        <v>44</v>
      </c>
      <c r="D11" s="1" t="s">
        <v>45</v>
      </c>
      <c r="E11" s="9">
        <v>10</v>
      </c>
      <c r="F11" s="1" t="s">
        <v>90</v>
      </c>
      <c r="G11" s="1" t="s">
        <v>91</v>
      </c>
      <c r="H11" s="1" t="s">
        <v>54</v>
      </c>
      <c r="I11" s="1" t="s">
        <v>53</v>
      </c>
      <c r="J11" s="1" t="s">
        <v>53</v>
      </c>
      <c r="K11" s="1" t="s">
        <v>92</v>
      </c>
      <c r="L11" s="9">
        <v>10</v>
      </c>
      <c r="M11" s="1" t="s">
        <v>54</v>
      </c>
      <c r="N11" s="1" t="s">
        <v>53</v>
      </c>
      <c r="O11" s="1" t="s">
        <v>127</v>
      </c>
      <c r="P11" s="9">
        <v>10</v>
      </c>
      <c r="Q11" s="1" t="s">
        <v>54</v>
      </c>
      <c r="R11" s="1" t="s">
        <v>53</v>
      </c>
      <c r="S11" s="1" t="s">
        <v>54</v>
      </c>
      <c r="T11" s="1" t="s">
        <v>53</v>
      </c>
      <c r="U11" s="1" t="s">
        <v>58</v>
      </c>
      <c r="V11" s="1" t="s">
        <v>53</v>
      </c>
      <c r="W11" s="1" t="s">
        <v>144</v>
      </c>
      <c r="X11" s="1" t="s">
        <v>134</v>
      </c>
      <c r="Y11" s="9">
        <v>10</v>
      </c>
      <c r="Z11" s="1" t="s">
        <v>162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165" x14ac:dyDescent="0.25">
      <c r="A12" s="1"/>
      <c r="B12" s="1"/>
      <c r="C12" s="1" t="s">
        <v>33</v>
      </c>
      <c r="D12" s="1" t="s">
        <v>46</v>
      </c>
      <c r="E12" s="9">
        <v>10</v>
      </c>
      <c r="F12" s="1" t="s">
        <v>93</v>
      </c>
      <c r="G12" s="1" t="s">
        <v>94</v>
      </c>
      <c r="H12" s="1" t="s">
        <v>54</v>
      </c>
      <c r="I12" s="1" t="s">
        <v>53</v>
      </c>
      <c r="J12" s="1" t="s">
        <v>95</v>
      </c>
      <c r="K12" s="1" t="s">
        <v>96</v>
      </c>
      <c r="L12" s="9">
        <v>10</v>
      </c>
      <c r="M12" s="1" t="s">
        <v>54</v>
      </c>
      <c r="N12" s="1" t="s">
        <v>53</v>
      </c>
      <c r="O12" s="1" t="s">
        <v>128</v>
      </c>
      <c r="P12" s="9">
        <v>10</v>
      </c>
      <c r="Q12" s="1" t="s">
        <v>54</v>
      </c>
      <c r="R12" s="1" t="s">
        <v>53</v>
      </c>
      <c r="S12" s="1" t="s">
        <v>54</v>
      </c>
      <c r="T12" s="1" t="s">
        <v>53</v>
      </c>
      <c r="U12" s="1" t="s">
        <v>58</v>
      </c>
      <c r="V12" s="1" t="s">
        <v>53</v>
      </c>
      <c r="W12" s="1" t="s">
        <v>145</v>
      </c>
      <c r="X12" s="1" t="s">
        <v>134</v>
      </c>
      <c r="Y12" s="9">
        <v>10</v>
      </c>
      <c r="Z12" s="1" t="s">
        <v>163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210" x14ac:dyDescent="0.25">
      <c r="A13" s="1"/>
      <c r="B13" s="1"/>
      <c r="C13" s="1" t="s">
        <v>33</v>
      </c>
      <c r="D13" s="1" t="s">
        <v>47</v>
      </c>
      <c r="E13" s="9">
        <v>10</v>
      </c>
      <c r="F13" s="1" t="s">
        <v>97</v>
      </c>
      <c r="G13" s="1" t="s">
        <v>98</v>
      </c>
      <c r="H13" s="1" t="s">
        <v>54</v>
      </c>
      <c r="I13" s="1" t="s">
        <v>53</v>
      </c>
      <c r="J13" s="1" t="s">
        <v>99</v>
      </c>
      <c r="K13" s="1" t="s">
        <v>53</v>
      </c>
      <c r="L13" s="9">
        <v>10</v>
      </c>
      <c r="M13" s="1" t="s">
        <v>54</v>
      </c>
      <c r="N13" s="1" t="s">
        <v>53</v>
      </c>
      <c r="O13" s="1" t="s">
        <v>129</v>
      </c>
      <c r="P13" s="9">
        <v>10</v>
      </c>
      <c r="Q13" s="1" t="s">
        <v>54</v>
      </c>
      <c r="R13" s="1" t="s">
        <v>53</v>
      </c>
      <c r="S13" s="1" t="s">
        <v>54</v>
      </c>
      <c r="T13" s="1" t="s">
        <v>53</v>
      </c>
      <c r="U13" s="1" t="s">
        <v>58</v>
      </c>
      <c r="V13" s="1" t="s">
        <v>53</v>
      </c>
      <c r="W13" s="1" t="s">
        <v>53</v>
      </c>
      <c r="X13" s="1" t="s">
        <v>134</v>
      </c>
      <c r="Y13" s="9">
        <v>10</v>
      </c>
      <c r="Z13" s="1" t="s">
        <v>164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135" x14ac:dyDescent="0.25">
      <c r="A14" s="1"/>
      <c r="B14" s="1"/>
      <c r="C14" s="1" t="s">
        <v>44</v>
      </c>
      <c r="D14" s="1" t="s">
        <v>48</v>
      </c>
      <c r="E14" s="9">
        <v>10</v>
      </c>
      <c r="F14" s="1" t="s">
        <v>100</v>
      </c>
      <c r="G14" s="1" t="s">
        <v>101</v>
      </c>
      <c r="H14" s="1" t="s">
        <v>54</v>
      </c>
      <c r="I14" s="1" t="s">
        <v>53</v>
      </c>
      <c r="J14" s="1" t="s">
        <v>102</v>
      </c>
      <c r="K14" s="1" t="s">
        <v>103</v>
      </c>
      <c r="L14" s="9">
        <v>10</v>
      </c>
      <c r="M14" s="1" t="s">
        <v>54</v>
      </c>
      <c r="N14" s="1" t="s">
        <v>53</v>
      </c>
      <c r="O14" s="1" t="s">
        <v>130</v>
      </c>
      <c r="P14" s="9">
        <v>10</v>
      </c>
      <c r="Q14" s="1" t="s">
        <v>54</v>
      </c>
      <c r="R14" s="1" t="s">
        <v>53</v>
      </c>
      <c r="S14" s="1" t="s">
        <v>54</v>
      </c>
      <c r="T14" s="1" t="s">
        <v>53</v>
      </c>
      <c r="U14" s="1" t="s">
        <v>58</v>
      </c>
      <c r="V14" s="1" t="s">
        <v>53</v>
      </c>
      <c r="W14" s="1" t="s">
        <v>146</v>
      </c>
      <c r="X14" s="1" t="s">
        <v>134</v>
      </c>
      <c r="Y14" s="9">
        <v>10</v>
      </c>
      <c r="Z14" s="1" t="s">
        <v>165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105" x14ac:dyDescent="0.25">
      <c r="A15" s="1"/>
      <c r="B15" s="1"/>
      <c r="C15" s="1" t="s">
        <v>33</v>
      </c>
      <c r="D15" s="1" t="s">
        <v>49</v>
      </c>
      <c r="E15" s="9">
        <v>10</v>
      </c>
      <c r="F15" s="1" t="s">
        <v>104</v>
      </c>
      <c r="G15" s="1" t="s">
        <v>105</v>
      </c>
      <c r="H15" s="1" t="s">
        <v>54</v>
      </c>
      <c r="I15" s="1" t="s">
        <v>53</v>
      </c>
      <c r="J15" s="1" t="s">
        <v>53</v>
      </c>
      <c r="K15" s="1" t="s">
        <v>53</v>
      </c>
      <c r="L15" s="9">
        <v>10</v>
      </c>
      <c r="M15" s="1" t="s">
        <v>54</v>
      </c>
      <c r="N15" s="1" t="s">
        <v>53</v>
      </c>
      <c r="O15" s="1" t="s">
        <v>53</v>
      </c>
      <c r="P15" s="9">
        <v>10</v>
      </c>
      <c r="Q15" s="1" t="s">
        <v>54</v>
      </c>
      <c r="R15" s="1" t="s">
        <v>53</v>
      </c>
      <c r="S15" s="1" t="s">
        <v>54</v>
      </c>
      <c r="T15" s="1" t="s">
        <v>53</v>
      </c>
      <c r="U15" s="1" t="s">
        <v>58</v>
      </c>
      <c r="V15" s="1" t="s">
        <v>53</v>
      </c>
      <c r="W15" s="1" t="s">
        <v>147</v>
      </c>
      <c r="X15" s="1" t="s">
        <v>148</v>
      </c>
      <c r="Y15" s="9">
        <v>10</v>
      </c>
      <c r="Z15" s="1" t="s">
        <v>166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409.5" x14ac:dyDescent="0.25">
      <c r="A16" s="1"/>
      <c r="B16" s="1"/>
      <c r="C16" s="1" t="s">
        <v>33</v>
      </c>
      <c r="D16" s="1" t="s">
        <v>50</v>
      </c>
      <c r="E16" s="9">
        <v>10</v>
      </c>
      <c r="F16" s="1" t="s">
        <v>106</v>
      </c>
      <c r="G16" s="1" t="s">
        <v>107</v>
      </c>
      <c r="H16" s="1" t="s">
        <v>54</v>
      </c>
      <c r="I16" s="1" t="s">
        <v>53</v>
      </c>
      <c r="J16" s="1" t="s">
        <v>108</v>
      </c>
      <c r="K16" s="1" t="s">
        <v>109</v>
      </c>
      <c r="L16" s="9">
        <v>10</v>
      </c>
      <c r="M16" s="1" t="s">
        <v>54</v>
      </c>
      <c r="N16" s="1" t="s">
        <v>53</v>
      </c>
      <c r="O16" s="1" t="s">
        <v>131</v>
      </c>
      <c r="P16" s="9">
        <v>9</v>
      </c>
      <c r="Q16" s="1" t="s">
        <v>58</v>
      </c>
      <c r="R16" s="1" t="s">
        <v>149</v>
      </c>
      <c r="S16" s="1" t="s">
        <v>54</v>
      </c>
      <c r="T16" s="1" t="s">
        <v>53</v>
      </c>
      <c r="U16" s="1" t="s">
        <v>54</v>
      </c>
      <c r="V16" s="1" t="s">
        <v>150</v>
      </c>
      <c r="W16" s="1" t="s">
        <v>151</v>
      </c>
      <c r="X16" s="1" t="s">
        <v>134</v>
      </c>
      <c r="Y16" s="9">
        <v>10</v>
      </c>
      <c r="Z16" s="1" t="s">
        <v>167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60" x14ac:dyDescent="0.25">
      <c r="A17" s="1"/>
      <c r="B17" s="1"/>
      <c r="C17" s="1" t="s">
        <v>33</v>
      </c>
      <c r="D17" s="1" t="s">
        <v>51</v>
      </c>
      <c r="E17" s="9">
        <v>7</v>
      </c>
      <c r="F17" s="1" t="s">
        <v>110</v>
      </c>
      <c r="G17" s="1" t="s">
        <v>111</v>
      </c>
      <c r="H17" s="1" t="s">
        <v>54</v>
      </c>
      <c r="I17" s="1" t="s">
        <v>53</v>
      </c>
      <c r="J17" s="1" t="s">
        <v>112</v>
      </c>
      <c r="K17" s="1" t="s">
        <v>113</v>
      </c>
      <c r="L17" s="9">
        <v>10</v>
      </c>
      <c r="M17" s="1" t="s">
        <v>54</v>
      </c>
      <c r="N17" s="1" t="s">
        <v>53</v>
      </c>
      <c r="O17" s="1" t="s">
        <v>129</v>
      </c>
      <c r="P17" s="9">
        <v>10</v>
      </c>
      <c r="Q17" s="1" t="s">
        <v>54</v>
      </c>
      <c r="R17" s="1" t="s">
        <v>53</v>
      </c>
      <c r="S17" s="1" t="s">
        <v>58</v>
      </c>
      <c r="T17" s="1" t="s">
        <v>53</v>
      </c>
      <c r="U17" s="1" t="s">
        <v>58</v>
      </c>
      <c r="V17" s="1" t="s">
        <v>53</v>
      </c>
      <c r="W17" s="1" t="s">
        <v>129</v>
      </c>
      <c r="X17" s="1" t="s">
        <v>134</v>
      </c>
      <c r="Y17" s="9">
        <v>10</v>
      </c>
      <c r="Z17" s="1" t="s">
        <v>168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1"/>
      <c r="B18" s="1"/>
      <c r="C18" s="1" t="s">
        <v>35</v>
      </c>
      <c r="D18" s="1" t="s">
        <v>52</v>
      </c>
      <c r="E18" s="9">
        <v>8</v>
      </c>
      <c r="F18" s="1" t="s">
        <v>114</v>
      </c>
      <c r="G18" s="1" t="s">
        <v>114</v>
      </c>
      <c r="H18" s="1" t="s">
        <v>54</v>
      </c>
      <c r="I18" s="1" t="s">
        <v>53</v>
      </c>
      <c r="J18" s="1" t="s">
        <v>99</v>
      </c>
      <c r="K18" s="1" t="s">
        <v>115</v>
      </c>
      <c r="L18" s="9">
        <v>8</v>
      </c>
      <c r="M18" s="1" t="s">
        <v>54</v>
      </c>
      <c r="N18" s="1" t="s">
        <v>53</v>
      </c>
      <c r="O18" s="1" t="s">
        <v>53</v>
      </c>
      <c r="P18" s="9">
        <v>10</v>
      </c>
      <c r="Q18" s="1" t="s">
        <v>54</v>
      </c>
      <c r="R18" s="1" t="s">
        <v>53</v>
      </c>
      <c r="S18" s="1" t="s">
        <v>54</v>
      </c>
      <c r="T18" s="1" t="s">
        <v>53</v>
      </c>
      <c r="U18" s="1" t="s">
        <v>58</v>
      </c>
      <c r="V18" s="1" t="s">
        <v>53</v>
      </c>
      <c r="W18" s="1" t="s">
        <v>152</v>
      </c>
      <c r="X18" s="1" t="s">
        <v>134</v>
      </c>
      <c r="Y18" s="9">
        <v>10</v>
      </c>
      <c r="Z18" s="1" t="s">
        <v>169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x14ac:dyDescent="0.25">
      <c r="A19" s="1"/>
      <c r="B19" s="1"/>
      <c r="C19" s="1"/>
      <c r="D19" s="1"/>
      <c r="E19" s="9"/>
      <c r="F19" s="1"/>
      <c r="G19" s="1"/>
      <c r="H19" s="1"/>
      <c r="I19" s="1"/>
      <c r="J19" s="1"/>
      <c r="K19" s="1"/>
      <c r="N19" s="1"/>
      <c r="O19" s="1"/>
      <c r="R19" s="1"/>
      <c r="T19" s="1"/>
      <c r="V19" s="1"/>
      <c r="W19" s="1"/>
      <c r="X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x14ac:dyDescent="0.25">
      <c r="A20" s="1"/>
      <c r="B20" s="1"/>
      <c r="C20" s="1"/>
      <c r="D20" s="1"/>
      <c r="E20" s="9"/>
      <c r="F20" s="1"/>
      <c r="G20" s="1"/>
      <c r="H20" s="1"/>
      <c r="I20" s="1"/>
      <c r="J20" s="1"/>
      <c r="K20" s="1"/>
      <c r="N20" s="1"/>
      <c r="O20" s="1"/>
      <c r="R20" s="1"/>
      <c r="T20" s="1"/>
      <c r="V20" s="1"/>
      <c r="W20" s="1"/>
      <c r="X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x14ac:dyDescent="0.25">
      <c r="A21" s="1"/>
      <c r="B21" s="1"/>
      <c r="C21" s="1"/>
      <c r="D21" s="1"/>
      <c r="E21" s="9"/>
      <c r="F21" s="1"/>
      <c r="G21" s="1"/>
      <c r="H21" s="1"/>
      <c r="I21" s="1"/>
      <c r="J21" s="1"/>
      <c r="K21" s="1"/>
      <c r="N21" s="1"/>
      <c r="O21" s="1"/>
      <c r="R21" s="1"/>
      <c r="T21" s="1"/>
      <c r="V21" s="1"/>
      <c r="W21" s="1"/>
      <c r="X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25">
      <c r="A22" s="1"/>
      <c r="B22" s="1"/>
      <c r="C22" s="1"/>
      <c r="D22" s="1"/>
      <c r="E22" s="9"/>
      <c r="F22" s="1"/>
      <c r="G22" s="1"/>
      <c r="H22" s="1"/>
      <c r="I22" s="1"/>
      <c r="J22" s="1"/>
      <c r="K22" s="1"/>
      <c r="N22" s="1"/>
      <c r="O22" s="1"/>
      <c r="R22" s="1"/>
      <c r="T22" s="1"/>
      <c r="V22" s="1"/>
      <c r="W22" s="1"/>
      <c r="X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1"/>
      <c r="B23" s="1"/>
      <c r="C23" s="1"/>
      <c r="D23" s="1"/>
      <c r="E23" s="9"/>
      <c r="F23" s="1"/>
      <c r="G23" s="1"/>
      <c r="H23" s="1"/>
      <c r="I23" s="1"/>
      <c r="J23" s="1"/>
      <c r="K23" s="1"/>
      <c r="N23" s="1"/>
      <c r="O23" s="1"/>
      <c r="R23" s="1"/>
      <c r="T23" s="1"/>
      <c r="V23" s="1"/>
      <c r="W23" s="1"/>
      <c r="X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1"/>
      <c r="B24" s="1"/>
      <c r="C24" s="1"/>
      <c r="D24" s="1"/>
      <c r="E24" s="9"/>
      <c r="F24" s="1"/>
      <c r="G24" s="1"/>
      <c r="H24" s="1"/>
      <c r="I24" s="1"/>
      <c r="J24" s="1"/>
      <c r="K24" s="1"/>
      <c r="N24" s="1"/>
      <c r="O24" s="1"/>
      <c r="R24" s="1"/>
      <c r="T24" s="1"/>
      <c r="V24" s="1"/>
      <c r="W24" s="1"/>
      <c r="X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"/>
      <c r="B25" s="1"/>
      <c r="C25" s="1"/>
      <c r="D25" s="1"/>
      <c r="E25" s="9"/>
      <c r="F25" s="1"/>
      <c r="G25" s="1"/>
      <c r="H25" s="1"/>
      <c r="I25" s="1"/>
      <c r="J25" s="1"/>
      <c r="K25" s="1"/>
      <c r="N25" s="1"/>
      <c r="O25" s="1"/>
      <c r="R25" s="1"/>
      <c r="T25" s="1"/>
      <c r="V25" s="1"/>
      <c r="W25" s="1"/>
      <c r="X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"/>
      <c r="B26" s="1"/>
      <c r="C26" s="1"/>
      <c r="D26" s="1"/>
      <c r="E26" s="9"/>
      <c r="F26" s="1"/>
      <c r="G26" s="1"/>
      <c r="H26" s="1"/>
      <c r="I26" s="1"/>
      <c r="J26" s="1"/>
      <c r="K26" s="1"/>
      <c r="N26" s="1"/>
      <c r="O26" s="1"/>
      <c r="R26" s="1"/>
      <c r="T26" s="1"/>
      <c r="V26" s="1"/>
      <c r="W26" s="1"/>
      <c r="X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E27" s="9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E28" s="9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E29" s="9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E30" s="9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E31" s="9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E32" s="9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E33" s="9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E34" s="9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E35" s="9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E36" s="9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E37" s="9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F16" sqref="F16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8.9411764705882355</v>
      </c>
      <c r="C4" s="8">
        <f>AVERAGE('Исходные данные (итог. анкета)'!L:L)</f>
        <v>9.235294117647058</v>
      </c>
      <c r="D4" s="8">
        <f>AVERAGE('Исходные данные (итог. анкета)'!P:P)</f>
        <v>9.8235294117647065</v>
      </c>
      <c r="E4" s="7">
        <f>COUNTIF('Исходные данные (итог. анкета)'!U:U,"нет")/COUNTA('Исходные данные (итог. анкета)'!U2:U499)</f>
        <v>0.82352941176470584</v>
      </c>
      <c r="F4" s="8">
        <f>AVERAGE('Исходные данные (итог. анкета)'!Y:Y)</f>
        <v>10</v>
      </c>
      <c r="G4" s="4">
        <f>AVERAGE(B4:D4,F4)</f>
        <v>9.5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2026-07-01T10:17:58Z</dcterms:modified>
</cp:coreProperties>
</file>